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PROJECT\Power Consumption Analytics Dashboard\Excel\"/>
    </mc:Choice>
  </mc:AlternateContent>
  <xr:revisionPtr revIDLastSave="0" documentId="8_{D1C97B74-FAA5-4CD2-98A1-09982AA84139}" xr6:coauthVersionLast="47" xr6:coauthVersionMax="47" xr10:uidLastSave="{00000000-0000-0000-0000-000000000000}"/>
  <bookViews>
    <workbookView xWindow="-108" yWindow="-108" windowWidth="23256" windowHeight="12456" activeTab="1" xr2:uid="{00000000-000D-0000-FFFF-FFFF00000000}"/>
  </bookViews>
  <sheets>
    <sheet name="Dashboard" sheetId="1" r:id="rId1"/>
    <sheet name="Pivot Tables" sheetId="2" r:id="rId2"/>
    <sheet name="Raw_Data" sheetId="3" r:id="rId3"/>
  </sheets>
  <definedNames>
    <definedName name="ExternalData_1" localSheetId="2" hidden="1">Raw_Data!$A$1:$L$1201</definedName>
    <definedName name="Slicer_CategoryName">#N/A</definedName>
    <definedName name="Slicer_Months__ReadingDate">#N/A</definedName>
    <definedName name="Slicer_PaymentStatus">#N/A</definedName>
    <definedName name="Slicer_StateName">#N/A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1" l="1"/>
  <c r="N8" i="1"/>
  <c r="N6" i="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199CC-2F50-40B8-A0AD-18C1053684DB}" keepAlive="1" name="Query - vw_DashboardData" description="Connection to the 'vw_DashboardData' query in the workbook." type="5" refreshedVersion="8" background="1" saveData="1">
    <dbPr connection="Provider=Microsoft.Mashup.OleDb.1;Data Source=$Workbook$;Location=vw_DashboardData;Extended Properties=&quot;&quot;" command="SELECT * FROM [vw_DashboardData]"/>
  </connection>
</connections>
</file>

<file path=xl/sharedStrings.xml><?xml version="1.0" encoding="utf-8"?>
<sst xmlns="http://schemas.openxmlformats.org/spreadsheetml/2006/main" count="7276" uniqueCount="263">
  <si>
    <t>CustomerID</t>
  </si>
  <si>
    <t>FirstName</t>
  </si>
  <si>
    <t>LastName</t>
  </si>
  <si>
    <t>CategoryName</t>
  </si>
  <si>
    <t>CityName</t>
  </si>
  <si>
    <t>StateName</t>
  </si>
  <si>
    <t>ReadingDate</t>
  </si>
  <si>
    <t>UnitsConsumed</t>
  </si>
  <si>
    <t>PeakDemand</t>
  </si>
  <si>
    <t>PowerFactor</t>
  </si>
  <si>
    <t>BillAmount</t>
  </si>
  <si>
    <t>PaymentStatus</t>
  </si>
  <si>
    <t>Amit</t>
  </si>
  <si>
    <t>Sharma</t>
  </si>
  <si>
    <t>Residential</t>
  </si>
  <si>
    <t>Mumbai</t>
  </si>
  <si>
    <t>Maharashtra</t>
  </si>
  <si>
    <t>Unpaid</t>
  </si>
  <si>
    <t>Paid</t>
  </si>
  <si>
    <t>Priya</t>
  </si>
  <si>
    <t>Verma</t>
  </si>
  <si>
    <t>Pune</t>
  </si>
  <si>
    <t>Rahul</t>
  </si>
  <si>
    <t>Patel</t>
  </si>
  <si>
    <t>Commercial</t>
  </si>
  <si>
    <t>Ahmedabad</t>
  </si>
  <si>
    <t>Gujarat</t>
  </si>
  <si>
    <t>Sneha</t>
  </si>
  <si>
    <t>Iyer</t>
  </si>
  <si>
    <t>Surat</t>
  </si>
  <si>
    <t>Vikram</t>
  </si>
  <si>
    <t>Singh</t>
  </si>
  <si>
    <t>Industrial</t>
  </si>
  <si>
    <t>Bengaluru</t>
  </si>
  <si>
    <t>Karnataka</t>
  </si>
  <si>
    <t>User1</t>
  </si>
  <si>
    <t>Test1</t>
  </si>
  <si>
    <t>User2</t>
  </si>
  <si>
    <t>Test2</t>
  </si>
  <si>
    <t>Nagpur</t>
  </si>
  <si>
    <t>User3</t>
  </si>
  <si>
    <t>Test3</t>
  </si>
  <si>
    <t>Agricultural</t>
  </si>
  <si>
    <t>User4</t>
  </si>
  <si>
    <t>Test4</t>
  </si>
  <si>
    <t>User5</t>
  </si>
  <si>
    <t>Test5</t>
  </si>
  <si>
    <t>Vadodara</t>
  </si>
  <si>
    <t>User6</t>
  </si>
  <si>
    <t>Test6</t>
  </si>
  <si>
    <t>Jaipur</t>
  </si>
  <si>
    <t>Rajasthan</t>
  </si>
  <si>
    <t>User7</t>
  </si>
  <si>
    <t>Test7</t>
  </si>
  <si>
    <t>Udaipur</t>
  </si>
  <si>
    <t>User8</t>
  </si>
  <si>
    <t>Test8</t>
  </si>
  <si>
    <t>Jodhpur</t>
  </si>
  <si>
    <t>User9</t>
  </si>
  <si>
    <t>Test9</t>
  </si>
  <si>
    <t>User10</t>
  </si>
  <si>
    <t>Test10</t>
  </si>
  <si>
    <t>Mysuru</t>
  </si>
  <si>
    <t>User11</t>
  </si>
  <si>
    <t>Test11</t>
  </si>
  <si>
    <t>Chennai</t>
  </si>
  <si>
    <t>Tamil Nadu</t>
  </si>
  <si>
    <t>User12</t>
  </si>
  <si>
    <t>Test12</t>
  </si>
  <si>
    <t>Coimbatore</t>
  </si>
  <si>
    <t>User13</t>
  </si>
  <si>
    <t>Test13</t>
  </si>
  <si>
    <t>New Delhi</t>
  </si>
  <si>
    <t>Delhi</t>
  </si>
  <si>
    <t>User14</t>
  </si>
  <si>
    <t>Test14</t>
  </si>
  <si>
    <t>Lucknow</t>
  </si>
  <si>
    <t>Uttar Pradesh</t>
  </si>
  <si>
    <t>User15</t>
  </si>
  <si>
    <t>Test15</t>
  </si>
  <si>
    <t>User16</t>
  </si>
  <si>
    <t>Test16</t>
  </si>
  <si>
    <t>User17</t>
  </si>
  <si>
    <t>Test17</t>
  </si>
  <si>
    <t>User18</t>
  </si>
  <si>
    <t>Test18</t>
  </si>
  <si>
    <t>User19</t>
  </si>
  <si>
    <t>Test19</t>
  </si>
  <si>
    <t>User20</t>
  </si>
  <si>
    <t>Test20</t>
  </si>
  <si>
    <t>User21</t>
  </si>
  <si>
    <t>Test21</t>
  </si>
  <si>
    <t>User22</t>
  </si>
  <si>
    <t>Test22</t>
  </si>
  <si>
    <t>User23</t>
  </si>
  <si>
    <t>Test23</t>
  </si>
  <si>
    <t>User24</t>
  </si>
  <si>
    <t>Test24</t>
  </si>
  <si>
    <t>User25</t>
  </si>
  <si>
    <t>Test25</t>
  </si>
  <si>
    <t>User26</t>
  </si>
  <si>
    <t>Test26</t>
  </si>
  <si>
    <t>User27</t>
  </si>
  <si>
    <t>Test27</t>
  </si>
  <si>
    <t>User28</t>
  </si>
  <si>
    <t>Test28</t>
  </si>
  <si>
    <t>User29</t>
  </si>
  <si>
    <t>Test29</t>
  </si>
  <si>
    <t>User30</t>
  </si>
  <si>
    <t>Test30</t>
  </si>
  <si>
    <t>User31</t>
  </si>
  <si>
    <t>Test31</t>
  </si>
  <si>
    <t>User32</t>
  </si>
  <si>
    <t>Test32</t>
  </si>
  <si>
    <t>User33</t>
  </si>
  <si>
    <t>Test33</t>
  </si>
  <si>
    <t>User34</t>
  </si>
  <si>
    <t>Test34</t>
  </si>
  <si>
    <t>User35</t>
  </si>
  <si>
    <t>Test35</t>
  </si>
  <si>
    <t>User36</t>
  </si>
  <si>
    <t>Test36</t>
  </si>
  <si>
    <t>User37</t>
  </si>
  <si>
    <t>Test37</t>
  </si>
  <si>
    <t>User38</t>
  </si>
  <si>
    <t>Test38</t>
  </si>
  <si>
    <t>User39</t>
  </si>
  <si>
    <t>Test39</t>
  </si>
  <si>
    <t>User40</t>
  </si>
  <si>
    <t>Test40</t>
  </si>
  <si>
    <t>User41</t>
  </si>
  <si>
    <t>Test41</t>
  </si>
  <si>
    <t>User42</t>
  </si>
  <si>
    <t>Test42</t>
  </si>
  <si>
    <t>User43</t>
  </si>
  <si>
    <t>Test43</t>
  </si>
  <si>
    <t>User44</t>
  </si>
  <si>
    <t>Test44</t>
  </si>
  <si>
    <t>User45</t>
  </si>
  <si>
    <t>Test45</t>
  </si>
  <si>
    <t>User46</t>
  </si>
  <si>
    <t>Test46</t>
  </si>
  <si>
    <t>User47</t>
  </si>
  <si>
    <t>Test47</t>
  </si>
  <si>
    <t>User48</t>
  </si>
  <si>
    <t>Test48</t>
  </si>
  <si>
    <t>User49</t>
  </si>
  <si>
    <t>Test49</t>
  </si>
  <si>
    <t>User50</t>
  </si>
  <si>
    <t>Test50</t>
  </si>
  <si>
    <t>User51</t>
  </si>
  <si>
    <t>Test51</t>
  </si>
  <si>
    <t>User52</t>
  </si>
  <si>
    <t>Test52</t>
  </si>
  <si>
    <t>User53</t>
  </si>
  <si>
    <t>Test53</t>
  </si>
  <si>
    <t>User54</t>
  </si>
  <si>
    <t>Test54</t>
  </si>
  <si>
    <t>User55</t>
  </si>
  <si>
    <t>Test55</t>
  </si>
  <si>
    <t>User56</t>
  </si>
  <si>
    <t>Test56</t>
  </si>
  <si>
    <t>User57</t>
  </si>
  <si>
    <t>Test57</t>
  </si>
  <si>
    <t>User58</t>
  </si>
  <si>
    <t>Test58</t>
  </si>
  <si>
    <t>User59</t>
  </si>
  <si>
    <t>Test59</t>
  </si>
  <si>
    <t>User60</t>
  </si>
  <si>
    <t>Test60</t>
  </si>
  <si>
    <t>User61</t>
  </si>
  <si>
    <t>Test61</t>
  </si>
  <si>
    <t>User62</t>
  </si>
  <si>
    <t>Test62</t>
  </si>
  <si>
    <t>User63</t>
  </si>
  <si>
    <t>Test63</t>
  </si>
  <si>
    <t>User64</t>
  </si>
  <si>
    <t>Test64</t>
  </si>
  <si>
    <t>User65</t>
  </si>
  <si>
    <t>Test65</t>
  </si>
  <si>
    <t>User66</t>
  </si>
  <si>
    <t>Test66</t>
  </si>
  <si>
    <t>User67</t>
  </si>
  <si>
    <t>Test67</t>
  </si>
  <si>
    <t>User68</t>
  </si>
  <si>
    <t>Test68</t>
  </si>
  <si>
    <t>User69</t>
  </si>
  <si>
    <t>Test69</t>
  </si>
  <si>
    <t>User70</t>
  </si>
  <si>
    <t>Test70</t>
  </si>
  <si>
    <t>User71</t>
  </si>
  <si>
    <t>Test71</t>
  </si>
  <si>
    <t>User72</t>
  </si>
  <si>
    <t>Test72</t>
  </si>
  <si>
    <t>User73</t>
  </si>
  <si>
    <t>Test73</t>
  </si>
  <si>
    <t>User74</t>
  </si>
  <si>
    <t>Test74</t>
  </si>
  <si>
    <t>User75</t>
  </si>
  <si>
    <t>Test75</t>
  </si>
  <si>
    <t>User76</t>
  </si>
  <si>
    <t>Test76</t>
  </si>
  <si>
    <t>User77</t>
  </si>
  <si>
    <t>Test77</t>
  </si>
  <si>
    <t>User78</t>
  </si>
  <si>
    <t>Test78</t>
  </si>
  <si>
    <t>User79</t>
  </si>
  <si>
    <t>Test79</t>
  </si>
  <si>
    <t>User80</t>
  </si>
  <si>
    <t>Test80</t>
  </si>
  <si>
    <t>User81</t>
  </si>
  <si>
    <t>Test81</t>
  </si>
  <si>
    <t>User82</t>
  </si>
  <si>
    <t>Test82</t>
  </si>
  <si>
    <t>User83</t>
  </si>
  <si>
    <t>Test83</t>
  </si>
  <si>
    <t>User84</t>
  </si>
  <si>
    <t>Test84</t>
  </si>
  <si>
    <t>User85</t>
  </si>
  <si>
    <t>Test85</t>
  </si>
  <si>
    <t>User86</t>
  </si>
  <si>
    <t>Test86</t>
  </si>
  <si>
    <t>User87</t>
  </si>
  <si>
    <t>Test87</t>
  </si>
  <si>
    <t>User88</t>
  </si>
  <si>
    <t>Test88</t>
  </si>
  <si>
    <t>User89</t>
  </si>
  <si>
    <t>Test89</t>
  </si>
  <si>
    <t>User90</t>
  </si>
  <si>
    <t>Test90</t>
  </si>
  <si>
    <t>User91</t>
  </si>
  <si>
    <t>Test91</t>
  </si>
  <si>
    <t>User92</t>
  </si>
  <si>
    <t>Test92</t>
  </si>
  <si>
    <t>User93</t>
  </si>
  <si>
    <t>Test93</t>
  </si>
  <si>
    <t>User94</t>
  </si>
  <si>
    <t>Test94</t>
  </si>
  <si>
    <t>User95</t>
  </si>
  <si>
    <t>Test95</t>
  </si>
  <si>
    <t>Row Labels</t>
  </si>
  <si>
    <t>Grand Total</t>
  </si>
  <si>
    <t>Jan</t>
  </si>
  <si>
    <t>Feb</t>
  </si>
  <si>
    <t>Mar</t>
  </si>
  <si>
    <t>Apr</t>
  </si>
  <si>
    <t>May</t>
  </si>
  <si>
    <t>Jun</t>
  </si>
  <si>
    <t>Jul</t>
  </si>
  <si>
    <t>Aug</t>
  </si>
  <si>
    <t>Sep</t>
  </si>
  <si>
    <t>Oct</t>
  </si>
  <si>
    <t>Nov</t>
  </si>
  <si>
    <t>Dec</t>
  </si>
  <si>
    <t>Sum of UnitsConsumed</t>
  </si>
  <si>
    <t>Sum of BillAmount</t>
  </si>
  <si>
    <t>Total Bills</t>
  </si>
  <si>
    <t>Average of UnitsConsumed</t>
  </si>
  <si>
    <t>Power Consumption Analytics Dashboard</t>
  </si>
  <si>
    <t>TOTAL CUSTOMERS = N4(JUST BELOW)</t>
  </si>
  <si>
    <t>TOTAL REVENUE = N6(JUST BELOW)</t>
  </si>
  <si>
    <t>TOTAL UNITS CONSUMED = N8(JUST BELOW)</t>
  </si>
  <si>
    <t>AVERAGE UNITS CONSUMED = N10(BELOW)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</si>
</sst>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b/>
      <sz val="20"/>
      <color theme="0"/>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3" borderId="0" xfId="0" applyFill="1" applyAlignment="1">
      <alignment vertical="center" wrapText="1"/>
    </xf>
    <xf numFmtId="0" fontId="0" fillId="3" borderId="0" xfId="0" applyFill="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7">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[Power_Consumption_Analytics(AutoRecovered).xlsx]Pivot Tables!PT_MonthlyUnits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chemeClr val="tx1"/>
                </a:solidFill>
              </a:rPr>
              <a:t>Monthly Units Consumed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Tables'!$B$3:$B$15</c:f>
              <c:numCache>
                <c:formatCode>General</c:formatCode>
                <c:ptCount val="12"/>
                <c:pt idx="0">
                  <c:v>27114</c:v>
                </c:pt>
                <c:pt idx="1">
                  <c:v>27452</c:v>
                </c:pt>
                <c:pt idx="2">
                  <c:v>28347</c:v>
                </c:pt>
                <c:pt idx="3">
                  <c:v>28599</c:v>
                </c:pt>
                <c:pt idx="4">
                  <c:v>26670</c:v>
                </c:pt>
                <c:pt idx="5">
                  <c:v>26867</c:v>
                </c:pt>
                <c:pt idx="6">
                  <c:v>27957</c:v>
                </c:pt>
                <c:pt idx="7">
                  <c:v>28663</c:v>
                </c:pt>
                <c:pt idx="8">
                  <c:v>27049</c:v>
                </c:pt>
                <c:pt idx="9">
                  <c:v>29835</c:v>
                </c:pt>
                <c:pt idx="10">
                  <c:v>27682</c:v>
                </c:pt>
                <c:pt idx="11">
                  <c:v>27755</c:v>
                </c:pt>
              </c:numCache>
            </c:numRef>
          </c:val>
          <c:extLst>
            <c:ext xmlns:c16="http://schemas.microsoft.com/office/drawing/2014/chart" uri="{C3380CC4-5D6E-409C-BE32-E72D297353CC}">
              <c16:uniqueId val="{00000000-2291-45A5-9907-8AA8C89CDF06}"/>
            </c:ext>
          </c:extLst>
        </c:ser>
        <c:dLbls>
          <c:dLblPos val="outEnd"/>
          <c:showLegendKey val="0"/>
          <c:showVal val="1"/>
          <c:showCatName val="0"/>
          <c:showSerName val="0"/>
          <c:showPercent val="0"/>
          <c:showBubbleSize val="0"/>
        </c:dLbls>
        <c:gapWidth val="219"/>
        <c:overlap val="-27"/>
        <c:axId val="1832395216"/>
        <c:axId val="494527728"/>
      </c:barChart>
      <c:catAx>
        <c:axId val="183239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27728"/>
        <c:crosses val="autoZero"/>
        <c:auto val="1"/>
        <c:lblAlgn val="ctr"/>
        <c:lblOffset val="100"/>
        <c:noMultiLvlLbl val="0"/>
      </c:catAx>
      <c:valAx>
        <c:axId val="49452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9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[Power_Consumption_Analytics(AutoRecovered).xlsx]Pivot Tables!PT_RevenueCategory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Revenue by Customer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Tables'!$G$10:$G$14</c:f>
              <c:strCache>
                <c:ptCount val="4"/>
                <c:pt idx="0">
                  <c:v>Agricultural</c:v>
                </c:pt>
                <c:pt idx="1">
                  <c:v>Commercial</c:v>
                </c:pt>
                <c:pt idx="2">
                  <c:v>Industrial</c:v>
                </c:pt>
                <c:pt idx="3">
                  <c:v>Residential</c:v>
                </c:pt>
              </c:strCache>
            </c:strRef>
          </c:cat>
          <c:val>
            <c:numRef>
              <c:f>'Pivot Tables'!$H$10:$H$14</c:f>
              <c:numCache>
                <c:formatCode>General</c:formatCode>
                <c:ptCount val="4"/>
                <c:pt idx="0">
                  <c:v>400651.2000000003</c:v>
                </c:pt>
                <c:pt idx="1">
                  <c:v>757198.99999999977</c:v>
                </c:pt>
                <c:pt idx="2">
                  <c:v>1033543.5</c:v>
                </c:pt>
                <c:pt idx="3">
                  <c:v>601113.5</c:v>
                </c:pt>
              </c:numCache>
            </c:numRef>
          </c:val>
          <c:extLst>
            <c:ext xmlns:c16="http://schemas.microsoft.com/office/drawing/2014/chart" uri="{C3380CC4-5D6E-409C-BE32-E72D297353CC}">
              <c16:uniqueId val="{00000000-1771-4F0F-884C-90C934291049}"/>
            </c:ext>
          </c:extLst>
        </c:ser>
        <c:dLbls>
          <c:dLblPos val="outEnd"/>
          <c:showLegendKey val="0"/>
          <c:showVal val="1"/>
          <c:showCatName val="0"/>
          <c:showSerName val="0"/>
          <c:showPercent val="0"/>
          <c:showBubbleSize val="0"/>
        </c:dLbls>
        <c:gapWidth val="182"/>
        <c:axId val="1832424912"/>
        <c:axId val="494563728"/>
      </c:barChart>
      <c:catAx>
        <c:axId val="183242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63728"/>
        <c:crosses val="autoZero"/>
        <c:auto val="1"/>
        <c:lblAlgn val="ctr"/>
        <c:lblOffset val="100"/>
        <c:noMultiLvlLbl val="0"/>
      </c:catAx>
      <c:valAx>
        <c:axId val="494563728"/>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2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[Power_Consumption_Analytics(AutoRecovered).xlsx]Pivot Tables!PT_CategoryConsumption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Power Consumption by Customer Category</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Tables'!$G$3:$G$7</c:f>
              <c:strCache>
                <c:ptCount val="4"/>
                <c:pt idx="0">
                  <c:v>Agricultural</c:v>
                </c:pt>
                <c:pt idx="1">
                  <c:v>Commercial</c:v>
                </c:pt>
                <c:pt idx="2">
                  <c:v>Industrial</c:v>
                </c:pt>
                <c:pt idx="3">
                  <c:v>Residential</c:v>
                </c:pt>
              </c:strCache>
            </c:strRef>
          </c:cat>
          <c:val>
            <c:numRef>
              <c:f>'Pivot Tables'!$H$3:$H$7</c:f>
              <c:numCache>
                <c:formatCode>General</c:formatCode>
                <c:ptCount val="4"/>
                <c:pt idx="0">
                  <c:v>78969</c:v>
                </c:pt>
                <c:pt idx="1">
                  <c:v>83195</c:v>
                </c:pt>
                <c:pt idx="2">
                  <c:v>84147</c:v>
                </c:pt>
                <c:pt idx="3">
                  <c:v>87679</c:v>
                </c:pt>
              </c:numCache>
            </c:numRef>
          </c:val>
          <c:extLst>
            <c:ext xmlns:c16="http://schemas.microsoft.com/office/drawing/2014/chart" uri="{C3380CC4-5D6E-409C-BE32-E72D297353CC}">
              <c16:uniqueId val="{00000000-53F3-4507-A381-46109812FE4D}"/>
            </c:ext>
          </c:extLst>
        </c:ser>
        <c:dLbls>
          <c:dLblPos val="outEnd"/>
          <c:showLegendKey val="0"/>
          <c:showVal val="1"/>
          <c:showCatName val="0"/>
          <c:showSerName val="0"/>
          <c:showPercent val="0"/>
          <c:showBubbleSize val="0"/>
        </c:dLbls>
        <c:gapWidth val="219"/>
        <c:overlap val="-27"/>
        <c:axId val="1830005168"/>
        <c:axId val="494541648"/>
      </c:barChart>
      <c:catAx>
        <c:axId val="183000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41648"/>
        <c:crosses val="autoZero"/>
        <c:auto val="1"/>
        <c:lblAlgn val="ctr"/>
        <c:lblOffset val="100"/>
        <c:noMultiLvlLbl val="0"/>
      </c:catAx>
      <c:valAx>
        <c:axId val="494541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0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[Power_Consumption_Analytics(AutoRecovered).xlsx]Pivot Tables!PT_PaymentStatus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Payment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Tables'!$G$19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33-40A6-AF0B-D6CEEC9B86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33-40A6-AF0B-D6CEEC9B86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Tables'!$F$20:$F$22</c:f>
              <c:strCache>
                <c:ptCount val="2"/>
                <c:pt idx="0">
                  <c:v>Paid</c:v>
                </c:pt>
                <c:pt idx="1">
                  <c:v>Unpaid</c:v>
                </c:pt>
              </c:strCache>
            </c:strRef>
          </c:cat>
          <c:val>
            <c:numRef>
              <c:f>'Pivot Tables'!$G$20:$G$22</c:f>
              <c:numCache>
                <c:formatCode>General</c:formatCode>
                <c:ptCount val="2"/>
                <c:pt idx="0">
                  <c:v>1007</c:v>
                </c:pt>
                <c:pt idx="1">
                  <c:v>193</c:v>
                </c:pt>
              </c:numCache>
            </c:numRef>
          </c:val>
          <c:extLst>
            <c:ext xmlns:c16="http://schemas.microsoft.com/office/drawing/2014/chart" uri="{C3380CC4-5D6E-409C-BE32-E72D297353CC}">
              <c16:uniqueId val="{00000004-7033-40A6-AF0B-D6CEEC9B86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[Power_Consumption_Analytics(AutoRecovered).xlsx]Pivot Tables!PT_RevenueState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Tables'!$J$14:$J$21</c:f>
              <c:strCache>
                <c:ptCount val="7"/>
                <c:pt idx="0">
                  <c:v>Delhi</c:v>
                </c:pt>
                <c:pt idx="1">
                  <c:v>Gujarat</c:v>
                </c:pt>
                <c:pt idx="2">
                  <c:v>Karnataka</c:v>
                </c:pt>
                <c:pt idx="3">
                  <c:v>Maharashtra</c:v>
                </c:pt>
                <c:pt idx="4">
                  <c:v>Rajasthan</c:v>
                </c:pt>
                <c:pt idx="5">
                  <c:v>Tamil Nadu</c:v>
                </c:pt>
                <c:pt idx="6">
                  <c:v>Uttar Pradesh</c:v>
                </c:pt>
              </c:strCache>
            </c:strRef>
          </c:cat>
          <c:val>
            <c:numRef>
              <c:f>'Pivot Tables'!$K$14:$K$21</c:f>
              <c:numCache>
                <c:formatCode>General</c:formatCode>
                <c:ptCount val="7"/>
                <c:pt idx="0">
                  <c:v>162286.59999999998</c:v>
                </c:pt>
                <c:pt idx="1">
                  <c:v>624754.2000000003</c:v>
                </c:pt>
                <c:pt idx="2">
                  <c:v>394614.60000000015</c:v>
                </c:pt>
                <c:pt idx="3">
                  <c:v>620177.00000000012</c:v>
                </c:pt>
                <c:pt idx="4">
                  <c:v>494527.99999999994</c:v>
                </c:pt>
                <c:pt idx="5">
                  <c:v>313650.00000000006</c:v>
                </c:pt>
                <c:pt idx="6">
                  <c:v>182496.79999999996</c:v>
                </c:pt>
              </c:numCache>
            </c:numRef>
          </c:val>
          <c:extLst>
            <c:ext xmlns:c16="http://schemas.microsoft.com/office/drawing/2014/chart" uri="{C3380CC4-5D6E-409C-BE32-E72D297353CC}">
              <c16:uniqueId val="{00000000-BE40-4098-8627-F80BEBF28913}"/>
            </c:ext>
          </c:extLst>
        </c:ser>
        <c:dLbls>
          <c:dLblPos val="outEnd"/>
          <c:showLegendKey val="0"/>
          <c:showVal val="1"/>
          <c:showCatName val="0"/>
          <c:showSerName val="0"/>
          <c:showPercent val="0"/>
          <c:showBubbleSize val="0"/>
        </c:dLbls>
        <c:gapWidth val="182"/>
        <c:axId val="1832441616"/>
        <c:axId val="494521488"/>
      </c:barChart>
      <c:catAx>
        <c:axId val="183244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21488"/>
        <c:crosses val="autoZero"/>
        <c:auto val="1"/>
        <c:lblAlgn val="ctr"/>
        <c:lblOffset val="100"/>
        <c:noMultiLvlLbl val="0"/>
      </c:catAx>
      <c:valAx>
        <c:axId val="49452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41616"/>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[Power_Consumption_Analytics(AutoRecovered).xlsx]Pivot Tables!PT_AvgConsumption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Average Monthly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Tables'!$E$3:$E$15</c:f>
              <c:numCache>
                <c:formatCode>General</c:formatCode>
                <c:ptCount val="12"/>
                <c:pt idx="0">
                  <c:v>271.14</c:v>
                </c:pt>
                <c:pt idx="1">
                  <c:v>274.52</c:v>
                </c:pt>
                <c:pt idx="2">
                  <c:v>283.47000000000003</c:v>
                </c:pt>
                <c:pt idx="3">
                  <c:v>285.99</c:v>
                </c:pt>
                <c:pt idx="4">
                  <c:v>266.7</c:v>
                </c:pt>
                <c:pt idx="5">
                  <c:v>268.67</c:v>
                </c:pt>
                <c:pt idx="6">
                  <c:v>279.57</c:v>
                </c:pt>
                <c:pt idx="7">
                  <c:v>286.63</c:v>
                </c:pt>
                <c:pt idx="8">
                  <c:v>270.49</c:v>
                </c:pt>
                <c:pt idx="9">
                  <c:v>298.35000000000002</c:v>
                </c:pt>
                <c:pt idx="10">
                  <c:v>276.82</c:v>
                </c:pt>
                <c:pt idx="11">
                  <c:v>277.55</c:v>
                </c:pt>
              </c:numCache>
            </c:numRef>
          </c:val>
          <c:smooth val="0"/>
          <c:extLst>
            <c:ext xmlns:c16="http://schemas.microsoft.com/office/drawing/2014/chart" uri="{C3380CC4-5D6E-409C-BE32-E72D297353CC}">
              <c16:uniqueId val="{00000000-CC5C-4495-B139-E3ECD8123CE8}"/>
            </c:ext>
          </c:extLst>
        </c:ser>
        <c:dLbls>
          <c:dLblPos val="t"/>
          <c:showLegendKey val="0"/>
          <c:showVal val="1"/>
          <c:showCatName val="0"/>
          <c:showSerName val="0"/>
          <c:showPercent val="0"/>
          <c:showBubbleSize val="0"/>
        </c:dLbls>
        <c:smooth val="0"/>
        <c:axId val="2143307424"/>
        <c:axId val="1627739824"/>
      </c:lineChart>
      <c:catAx>
        <c:axId val="214330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39824"/>
        <c:crosses val="autoZero"/>
        <c:auto val="1"/>
        <c:lblAlgn val="ctr"/>
        <c:lblOffset val="100"/>
        <c:noMultiLvlLbl val="0"/>
      </c:catAx>
      <c:valAx>
        <c:axId val="1627739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30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281726</xdr:colOff>
      <xdr:row>4</xdr:row>
      <xdr:rowOff>293160</xdr:rowOff>
    </xdr:from>
    <xdr:to>
      <xdr:col>3</xdr:col>
      <xdr:colOff>1144151</xdr:colOff>
      <xdr:row>13</xdr:row>
      <xdr:rowOff>164235</xdr:rowOff>
    </xdr:to>
    <xdr:graphicFrame macro="">
      <xdr:nvGraphicFramePr>
        <xdr:cNvPr id="2" name="Chart 1">
          <a:extLst>
            <a:ext uri="{FF2B5EF4-FFF2-40B4-BE49-F238E27FC236}">
              <a16:creationId xmlns:a16="http://schemas.microsoft.com/office/drawing/2014/main" id="{60DB0102-F7F8-4BC2-AA10-290BC7163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4</xdr:row>
      <xdr:rowOff>292100</xdr:rowOff>
    </xdr:from>
    <xdr:to>
      <xdr:col>7</xdr:col>
      <xdr:colOff>1091025</xdr:colOff>
      <xdr:row>13</xdr:row>
      <xdr:rowOff>163175</xdr:rowOff>
    </xdr:to>
    <xdr:graphicFrame macro="">
      <xdr:nvGraphicFramePr>
        <xdr:cNvPr id="3" name="Chart 2">
          <a:extLst>
            <a:ext uri="{FF2B5EF4-FFF2-40B4-BE49-F238E27FC236}">
              <a16:creationId xmlns:a16="http://schemas.microsoft.com/office/drawing/2014/main" id="{3299F3E4-2A90-4092-A2DD-6CE77F292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292101</xdr:colOff>
      <xdr:row>14</xdr:row>
      <xdr:rowOff>94191</xdr:rowOff>
    </xdr:from>
    <xdr:to>
      <xdr:col>4</xdr:col>
      <xdr:colOff>2001</xdr:colOff>
      <xdr:row>22</xdr:row>
      <xdr:rowOff>279591</xdr:rowOff>
    </xdr:to>
    <xdr:graphicFrame macro="">
      <xdr:nvGraphicFramePr>
        <xdr:cNvPr id="4" name="Chart 3">
          <a:extLst>
            <a:ext uri="{FF2B5EF4-FFF2-40B4-BE49-F238E27FC236}">
              <a16:creationId xmlns:a16="http://schemas.microsoft.com/office/drawing/2014/main" id="{D3858BB9-5BEE-4542-81AE-077FB13A1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239819</xdr:colOff>
      <xdr:row>14</xdr:row>
      <xdr:rowOff>95249</xdr:rowOff>
    </xdr:from>
    <xdr:to>
      <xdr:col>7</xdr:col>
      <xdr:colOff>1102244</xdr:colOff>
      <xdr:row>22</xdr:row>
      <xdr:rowOff>280649</xdr:rowOff>
    </xdr:to>
    <xdr:graphicFrame macro="">
      <xdr:nvGraphicFramePr>
        <xdr:cNvPr id="5" name="Chart 4">
          <a:extLst>
            <a:ext uri="{FF2B5EF4-FFF2-40B4-BE49-F238E27FC236}">
              <a16:creationId xmlns:a16="http://schemas.microsoft.com/office/drawing/2014/main" id="{EB80E949-DC66-4AAE-BBB4-95A993053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182032</xdr:colOff>
      <xdr:row>4</xdr:row>
      <xdr:rowOff>289982</xdr:rowOff>
    </xdr:from>
    <xdr:to>
      <xdr:col>11</xdr:col>
      <xdr:colOff>1044457</xdr:colOff>
      <xdr:row>13</xdr:row>
      <xdr:rowOff>161057</xdr:rowOff>
    </xdr:to>
    <xdr:graphicFrame macro="">
      <xdr:nvGraphicFramePr>
        <xdr:cNvPr id="6" name="Chart 5">
          <a:extLst>
            <a:ext uri="{FF2B5EF4-FFF2-40B4-BE49-F238E27FC236}">
              <a16:creationId xmlns:a16="http://schemas.microsoft.com/office/drawing/2014/main" id="{78B78516-2E44-4D81-A1B0-DA88ECA7B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181609</xdr:colOff>
      <xdr:row>14</xdr:row>
      <xdr:rowOff>91228</xdr:rowOff>
    </xdr:from>
    <xdr:to>
      <xdr:col>11</xdr:col>
      <xdr:colOff>1044034</xdr:colOff>
      <xdr:row>22</xdr:row>
      <xdr:rowOff>276628</xdr:rowOff>
    </xdr:to>
    <xdr:graphicFrame macro="">
      <xdr:nvGraphicFramePr>
        <xdr:cNvPr id="7" name="Chart 6">
          <a:extLst>
            <a:ext uri="{FF2B5EF4-FFF2-40B4-BE49-F238E27FC236}">
              <a16:creationId xmlns:a16="http://schemas.microsoft.com/office/drawing/2014/main" id="{04D95616-C755-462D-9EBB-80FD6F3CE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447675</xdr:colOff>
      <xdr:row>2</xdr:row>
      <xdr:rowOff>47625</xdr:rowOff>
    </xdr:from>
    <xdr:to>
      <xdr:col>2</xdr:col>
      <xdr:colOff>828225</xdr:colOff>
      <xdr:row>4</xdr:row>
      <xdr:rowOff>160575</xdr:rowOff>
    </xdr:to>
    <xdr:sp macro="" textlink="">
      <xdr:nvSpPr>
        <xdr:cNvPr id="9" name="Rectangle: Rounded Corners 8">
          <a:extLst>
            <a:ext uri="{FF2B5EF4-FFF2-40B4-BE49-F238E27FC236}">
              <a16:creationId xmlns:a16="http://schemas.microsoft.com/office/drawing/2014/main" id="{59E432CE-1995-FFB4-3F3B-40EDAF32812C}"/>
            </a:ext>
          </a:extLst>
        </xdr:cNvPr>
        <xdr:cNvSpPr/>
      </xdr:nvSpPr>
      <xdr:spPr>
        <a:xfrm>
          <a:off x="447675" y="676275"/>
          <a:ext cx="2685600" cy="741600"/>
        </a:xfrm>
        <a:prstGeom prst="roundRect">
          <a:avLst>
            <a:gd name="adj" fmla="val 1254"/>
          </a:avLst>
        </a:prstGeom>
        <a:ln w="15875">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IN" sz="1100" b="1">
              <a:solidFill>
                <a:schemeClr val="accent5">
                  <a:lumMod val="50000"/>
                </a:schemeClr>
              </a:solidFill>
            </a:rPr>
            <a:t>Total Customers</a:t>
          </a:r>
        </a:p>
      </xdr:txBody>
    </xdr:sp>
    <xdr:clientData/>
  </xdr:twoCellAnchor>
  <xdr:twoCellAnchor>
    <xdr:from>
      <xdr:col>3</xdr:col>
      <xdr:colOff>190500</xdr:colOff>
      <xdr:row>2</xdr:row>
      <xdr:rowOff>47625</xdr:rowOff>
    </xdr:from>
    <xdr:to>
      <xdr:col>5</xdr:col>
      <xdr:colOff>571050</xdr:colOff>
      <xdr:row>4</xdr:row>
      <xdr:rowOff>160575</xdr:rowOff>
    </xdr:to>
    <xdr:sp macro="" textlink="">
      <xdr:nvSpPr>
        <xdr:cNvPr id="10" name="Rectangle: Rounded Corners 9">
          <a:extLst>
            <a:ext uri="{FF2B5EF4-FFF2-40B4-BE49-F238E27FC236}">
              <a16:creationId xmlns:a16="http://schemas.microsoft.com/office/drawing/2014/main" id="{2920B350-749C-45D9-89EF-FB11FA235690}"/>
            </a:ext>
          </a:extLst>
        </xdr:cNvPr>
        <xdr:cNvSpPr/>
      </xdr:nvSpPr>
      <xdr:spPr>
        <a:xfrm>
          <a:off x="3648075" y="676275"/>
          <a:ext cx="2685600" cy="741600"/>
        </a:xfrm>
        <a:prstGeom prst="roundRect">
          <a:avLst>
            <a:gd name="adj" fmla="val 1254"/>
          </a:avLst>
        </a:prstGeom>
        <a:ln w="15875">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accent5">
                  <a:lumMod val="50000"/>
                </a:schemeClr>
              </a:solidFill>
            </a:rPr>
            <a:t>Total Revenue</a:t>
          </a:r>
        </a:p>
      </xdr:txBody>
    </xdr:sp>
    <xdr:clientData/>
  </xdr:twoCellAnchor>
  <xdr:twoCellAnchor>
    <xdr:from>
      <xdr:col>6</xdr:col>
      <xdr:colOff>76200</xdr:colOff>
      <xdr:row>2</xdr:row>
      <xdr:rowOff>47625</xdr:rowOff>
    </xdr:from>
    <xdr:to>
      <xdr:col>8</xdr:col>
      <xdr:colOff>456750</xdr:colOff>
      <xdr:row>4</xdr:row>
      <xdr:rowOff>160575</xdr:rowOff>
    </xdr:to>
    <xdr:sp macro="" textlink="">
      <xdr:nvSpPr>
        <xdr:cNvPr id="11" name="Rectangle: Rounded Corners 10">
          <a:extLst>
            <a:ext uri="{FF2B5EF4-FFF2-40B4-BE49-F238E27FC236}">
              <a16:creationId xmlns:a16="http://schemas.microsoft.com/office/drawing/2014/main" id="{010C3EC7-CDA9-4C40-B0EF-B7129D5802F8}"/>
            </a:ext>
          </a:extLst>
        </xdr:cNvPr>
        <xdr:cNvSpPr/>
      </xdr:nvSpPr>
      <xdr:spPr>
        <a:xfrm>
          <a:off x="6991350" y="676275"/>
          <a:ext cx="2685600" cy="741600"/>
        </a:xfrm>
        <a:prstGeom prst="roundRect">
          <a:avLst>
            <a:gd name="adj" fmla="val 1254"/>
          </a:avLst>
        </a:prstGeom>
        <a:ln w="15875">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accent5">
                  <a:lumMod val="50000"/>
                </a:schemeClr>
              </a:solidFill>
            </a:rPr>
            <a:t>Total Units Consumed</a:t>
          </a:r>
        </a:p>
      </xdr:txBody>
    </xdr:sp>
    <xdr:clientData/>
  </xdr:twoCellAnchor>
  <xdr:twoCellAnchor>
    <xdr:from>
      <xdr:col>8</xdr:col>
      <xdr:colOff>1066800</xdr:colOff>
      <xdr:row>2</xdr:row>
      <xdr:rowOff>47625</xdr:rowOff>
    </xdr:from>
    <xdr:to>
      <xdr:col>11</xdr:col>
      <xdr:colOff>294825</xdr:colOff>
      <xdr:row>4</xdr:row>
      <xdr:rowOff>160575</xdr:rowOff>
    </xdr:to>
    <xdr:sp macro="" textlink="">
      <xdr:nvSpPr>
        <xdr:cNvPr id="12" name="Rectangle: Rounded Corners 11">
          <a:extLst>
            <a:ext uri="{FF2B5EF4-FFF2-40B4-BE49-F238E27FC236}">
              <a16:creationId xmlns:a16="http://schemas.microsoft.com/office/drawing/2014/main" id="{EB8991A9-D5D0-4D05-820E-57E0732C2712}"/>
            </a:ext>
          </a:extLst>
        </xdr:cNvPr>
        <xdr:cNvSpPr/>
      </xdr:nvSpPr>
      <xdr:spPr>
        <a:xfrm>
          <a:off x="10287000" y="676275"/>
          <a:ext cx="2685600" cy="741600"/>
        </a:xfrm>
        <a:prstGeom prst="roundRect">
          <a:avLst>
            <a:gd name="adj" fmla="val 0"/>
          </a:avLst>
        </a:prstGeom>
        <a:ln w="15875">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accent5">
                  <a:lumMod val="50000"/>
                </a:schemeClr>
              </a:solidFill>
            </a:rPr>
            <a:t>Average Units Consumed</a:t>
          </a:r>
        </a:p>
      </xdr:txBody>
    </xdr:sp>
    <xdr:clientData/>
  </xdr:twoCellAnchor>
  <xdr:twoCellAnchor>
    <xdr:from>
      <xdr:col>0</xdr:col>
      <xdr:colOff>1114425</xdr:colOff>
      <xdr:row>3</xdr:row>
      <xdr:rowOff>85725</xdr:rowOff>
    </xdr:from>
    <xdr:to>
      <xdr:col>2</xdr:col>
      <xdr:colOff>200025</xdr:colOff>
      <xdr:row>4</xdr:row>
      <xdr:rowOff>38100</xdr:rowOff>
    </xdr:to>
    <xdr:sp macro="" textlink="N4">
      <xdr:nvSpPr>
        <xdr:cNvPr id="13" name="TextBox 12">
          <a:extLst>
            <a:ext uri="{FF2B5EF4-FFF2-40B4-BE49-F238E27FC236}">
              <a16:creationId xmlns:a16="http://schemas.microsoft.com/office/drawing/2014/main" id="{9BEDE962-146F-9180-E2C2-5201A2A5190B}"/>
            </a:ext>
          </a:extLst>
        </xdr:cNvPr>
        <xdr:cNvSpPr txBox="1"/>
      </xdr:nvSpPr>
      <xdr:spPr>
        <a:xfrm>
          <a:off x="1114425" y="1028700"/>
          <a:ext cx="13906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2E7774-4F7F-4B00-8187-1151CE0EDDC9}" type="TxLink">
            <a:rPr lang="en-US" sz="1800" b="0" i="0" u="none" strike="noStrike">
              <a:solidFill>
                <a:schemeClr val="accent5">
                  <a:lumMod val="50000"/>
                </a:schemeClr>
              </a:solidFill>
              <a:latin typeface="Calibri"/>
              <a:ea typeface="Calibri"/>
              <a:cs typeface="Calibri"/>
            </a:rPr>
            <a:pPr algn="ctr"/>
            <a:t>100</a:t>
          </a:fld>
          <a:endParaRPr lang="en-IN" sz="1800">
            <a:solidFill>
              <a:schemeClr val="accent5">
                <a:lumMod val="50000"/>
              </a:schemeClr>
            </a:solidFill>
          </a:endParaRPr>
        </a:p>
      </xdr:txBody>
    </xdr:sp>
    <xdr:clientData/>
  </xdr:twoCellAnchor>
  <xdr:twoCellAnchor>
    <xdr:from>
      <xdr:col>3</xdr:col>
      <xdr:colOff>1009650</xdr:colOff>
      <xdr:row>3</xdr:row>
      <xdr:rowOff>47625</xdr:rowOff>
    </xdr:from>
    <xdr:to>
      <xdr:col>4</xdr:col>
      <xdr:colOff>857250</xdr:colOff>
      <xdr:row>4</xdr:row>
      <xdr:rowOff>28575</xdr:rowOff>
    </xdr:to>
    <xdr:sp macro="" textlink="N6">
      <xdr:nvSpPr>
        <xdr:cNvPr id="14" name="TextBox 13">
          <a:extLst>
            <a:ext uri="{FF2B5EF4-FFF2-40B4-BE49-F238E27FC236}">
              <a16:creationId xmlns:a16="http://schemas.microsoft.com/office/drawing/2014/main" id="{EF042CBB-2320-FDC3-A416-6BABA65A9E92}"/>
            </a:ext>
          </a:extLst>
        </xdr:cNvPr>
        <xdr:cNvSpPr txBox="1"/>
      </xdr:nvSpPr>
      <xdr:spPr>
        <a:xfrm>
          <a:off x="4467225" y="990600"/>
          <a:ext cx="10001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B11FC8-0E1A-4179-B6BB-4704B046DB6F}" type="TxLink">
            <a:rPr lang="en-US" sz="1800" b="0" i="0" u="none" strike="noStrike">
              <a:solidFill>
                <a:schemeClr val="accent5">
                  <a:lumMod val="50000"/>
                </a:schemeClr>
              </a:solidFill>
              <a:latin typeface="Calibri"/>
              <a:ea typeface="Calibri"/>
              <a:cs typeface="Calibri"/>
            </a:rPr>
            <a:pPr algn="ctr"/>
            <a:t>2792507.2</a:t>
          </a:fld>
          <a:endParaRPr lang="en-IN" sz="1800">
            <a:solidFill>
              <a:schemeClr val="accent5">
                <a:lumMod val="50000"/>
              </a:schemeClr>
            </a:solidFill>
          </a:endParaRPr>
        </a:p>
      </xdr:txBody>
    </xdr:sp>
    <xdr:clientData/>
  </xdr:twoCellAnchor>
  <xdr:twoCellAnchor>
    <xdr:from>
      <xdr:col>6</xdr:col>
      <xdr:colOff>771525</xdr:colOff>
      <xdr:row>3</xdr:row>
      <xdr:rowOff>19050</xdr:rowOff>
    </xdr:from>
    <xdr:to>
      <xdr:col>7</xdr:col>
      <xdr:colOff>781050</xdr:colOff>
      <xdr:row>4</xdr:row>
      <xdr:rowOff>76200</xdr:rowOff>
    </xdr:to>
    <xdr:sp macro="" textlink="N8">
      <xdr:nvSpPr>
        <xdr:cNvPr id="15" name="TextBox 14">
          <a:extLst>
            <a:ext uri="{FF2B5EF4-FFF2-40B4-BE49-F238E27FC236}">
              <a16:creationId xmlns:a16="http://schemas.microsoft.com/office/drawing/2014/main" id="{AF90A7A3-B172-43FB-6F8D-82747F75908C}"/>
            </a:ext>
          </a:extLst>
        </xdr:cNvPr>
        <xdr:cNvSpPr txBox="1"/>
      </xdr:nvSpPr>
      <xdr:spPr>
        <a:xfrm>
          <a:off x="7686675" y="962025"/>
          <a:ext cx="116205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F4A22F-D61E-49B9-8751-3B866BE27E97}" type="TxLink">
            <a:rPr lang="en-US" sz="1800" b="0" i="0" u="none" strike="noStrike">
              <a:solidFill>
                <a:schemeClr val="accent5">
                  <a:lumMod val="50000"/>
                </a:schemeClr>
              </a:solidFill>
              <a:latin typeface="Calibri"/>
              <a:ea typeface="Calibri"/>
              <a:cs typeface="Calibri"/>
            </a:rPr>
            <a:pPr algn="ctr"/>
            <a:t>333990</a:t>
          </a:fld>
          <a:endParaRPr lang="en-IN" sz="1800">
            <a:solidFill>
              <a:schemeClr val="accent5">
                <a:lumMod val="50000"/>
              </a:schemeClr>
            </a:solidFill>
          </a:endParaRPr>
        </a:p>
      </xdr:txBody>
    </xdr:sp>
    <xdr:clientData/>
  </xdr:twoCellAnchor>
  <xdr:twoCellAnchor>
    <xdr:from>
      <xdr:col>9</xdr:col>
      <xdr:colOff>523875</xdr:colOff>
      <xdr:row>3</xdr:row>
      <xdr:rowOff>38100</xdr:rowOff>
    </xdr:from>
    <xdr:to>
      <xdr:col>10</xdr:col>
      <xdr:colOff>800100</xdr:colOff>
      <xdr:row>4</xdr:row>
      <xdr:rowOff>76200</xdr:rowOff>
    </xdr:to>
    <xdr:sp macro="" textlink="N10">
      <xdr:nvSpPr>
        <xdr:cNvPr id="16" name="TextBox 15">
          <a:extLst>
            <a:ext uri="{FF2B5EF4-FFF2-40B4-BE49-F238E27FC236}">
              <a16:creationId xmlns:a16="http://schemas.microsoft.com/office/drawing/2014/main" id="{11A27A21-F5B0-48A6-61A7-DA799DE64030}"/>
            </a:ext>
          </a:extLst>
        </xdr:cNvPr>
        <xdr:cNvSpPr txBox="1"/>
      </xdr:nvSpPr>
      <xdr:spPr>
        <a:xfrm>
          <a:off x="10896600" y="981075"/>
          <a:ext cx="14287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CC5EB8-0E68-4EB5-87FC-5EC2659E4A78}" type="TxLink">
            <a:rPr lang="en-US" sz="1800" b="0" i="0" u="none" strike="noStrike">
              <a:solidFill>
                <a:schemeClr val="accent5">
                  <a:lumMod val="50000"/>
                </a:schemeClr>
              </a:solidFill>
              <a:latin typeface="Calibri"/>
              <a:ea typeface="Calibri"/>
              <a:cs typeface="Calibri"/>
            </a:rPr>
            <a:pPr algn="ctr"/>
            <a:t>278.33</a:t>
          </a:fld>
          <a:endParaRPr lang="en-IN" sz="18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205740</xdr:colOff>
      <xdr:row>12</xdr:row>
      <xdr:rowOff>0</xdr:rowOff>
    </xdr:from>
    <xdr:to>
      <xdr:col>11</xdr:col>
      <xdr:colOff>1653540</xdr:colOff>
      <xdr:row>22</xdr:row>
      <xdr:rowOff>30479</xdr:rowOff>
    </xdr:to>
    <mc:AlternateContent xmlns:mc="http://schemas.openxmlformats.org/markup-compatibility/2006" xmlns:a14="http://schemas.microsoft.com/office/drawing/2010/main">
      <mc:Choice Requires="a14">
        <xdr:graphicFrame macro="">
          <xdr:nvGraphicFramePr>
            <xdr:cNvPr id="8" name="StateName">
              <a:extLst>
                <a:ext uri="{FF2B5EF4-FFF2-40B4-BE49-F238E27FC236}">
                  <a16:creationId xmlns:a16="http://schemas.microsoft.com/office/drawing/2014/main" id="{9206FB82-991B-E0B9-2770-BF5A748E9391}"/>
                </a:ext>
              </a:extLst>
            </xdr:cNvPr>
            <xdr:cNvGraphicFramePr/>
          </xdr:nvGraphicFramePr>
          <xdr:xfrm>
            <a:off x="0" y="0"/>
            <a:ext cx="0" cy="0"/>
          </xdr:xfrm>
          <a:graphic>
            <a:graphicData uri="http://schemas.microsoft.com/office/drawing/2010/slicer">
              <sle:slicer xmlns:sle="http://schemas.microsoft.com/office/drawing/2010/slicer" name="StateName"/>
            </a:graphicData>
          </a:graphic>
        </xdr:graphicFrame>
      </mc:Choice>
      <mc:Fallback xmlns="">
        <xdr:sp macro="" textlink="">
          <xdr:nvSpPr>
            <xdr:cNvPr id="0" name=""/>
            <xdr:cNvSpPr>
              <a:spLocks noTextEdit="1"/>
            </xdr:cNvSpPr>
          </xdr:nvSpPr>
          <xdr:spPr>
            <a:xfrm>
              <a:off x="11689080" y="2194560"/>
              <a:ext cx="144780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68580</xdr:colOff>
      <xdr:row>2</xdr:row>
      <xdr:rowOff>1</xdr:rowOff>
    </xdr:from>
    <xdr:to>
      <xdr:col>9</xdr:col>
      <xdr:colOff>944880</xdr:colOff>
      <xdr:row>9</xdr:row>
      <xdr:rowOff>175261</xdr:rowOff>
    </xdr:to>
    <mc:AlternateContent xmlns:mc="http://schemas.openxmlformats.org/markup-compatibility/2006" xmlns:a14="http://schemas.microsoft.com/office/drawing/2010/main">
      <mc:Choice Requires="a14">
        <xdr:graphicFrame macro="">
          <xdr:nvGraphicFramePr>
            <xdr:cNvPr id="9" name="CategoryName">
              <a:extLst>
                <a:ext uri="{FF2B5EF4-FFF2-40B4-BE49-F238E27FC236}">
                  <a16:creationId xmlns:a16="http://schemas.microsoft.com/office/drawing/2014/main" id="{15238C1F-7CEA-DB7B-9500-C2D443239A22}"/>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8412480" y="365761"/>
              <a:ext cx="173736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914400</xdr:colOff>
      <xdr:row>15</xdr:row>
      <xdr:rowOff>45721</xdr:rowOff>
    </xdr:from>
    <xdr:to>
      <xdr:col>3</xdr:col>
      <xdr:colOff>525780</xdr:colOff>
      <xdr:row>26</xdr:row>
      <xdr:rowOff>91441</xdr:rowOff>
    </xdr:to>
    <mc:AlternateContent xmlns:mc="http://schemas.openxmlformats.org/markup-compatibility/2006" xmlns:a14="http://schemas.microsoft.com/office/drawing/2010/main">
      <mc:Choice Requires="a14">
        <xdr:graphicFrame macro="">
          <xdr:nvGraphicFramePr>
            <xdr:cNvPr id="10" name="Months (ReadingDate)">
              <a:extLst>
                <a:ext uri="{FF2B5EF4-FFF2-40B4-BE49-F238E27FC236}">
                  <a16:creationId xmlns:a16="http://schemas.microsoft.com/office/drawing/2014/main" id="{66F681D0-DAEB-4004-228E-5200C9CEE1A6}"/>
                </a:ext>
              </a:extLst>
            </xdr:cNvPr>
            <xdr:cNvGraphicFramePr/>
          </xdr:nvGraphicFramePr>
          <xdr:xfrm>
            <a:off x="0" y="0"/>
            <a:ext cx="0" cy="0"/>
          </xdr:xfrm>
          <a:graphic>
            <a:graphicData uri="http://schemas.microsoft.com/office/drawing/2010/slicer">
              <sle:slicer xmlns:sle="http://schemas.microsoft.com/office/drawing/2010/slicer" name="Months (ReadingDate)"/>
            </a:graphicData>
          </a:graphic>
        </xdr:graphicFrame>
      </mc:Choice>
      <mc:Fallback xmlns="">
        <xdr:sp macro="" textlink="">
          <xdr:nvSpPr>
            <xdr:cNvPr id="0" name=""/>
            <xdr:cNvSpPr>
              <a:spLocks noTextEdit="1"/>
            </xdr:cNvSpPr>
          </xdr:nvSpPr>
          <xdr:spPr>
            <a:xfrm>
              <a:off x="1775460" y="2788921"/>
              <a:ext cx="166116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198120</xdr:colOff>
      <xdr:row>18</xdr:row>
      <xdr:rowOff>1</xdr:rowOff>
    </xdr:from>
    <xdr:to>
      <xdr:col>8</xdr:col>
      <xdr:colOff>396240</xdr:colOff>
      <xdr:row>22</xdr:row>
      <xdr:rowOff>144780</xdr:rowOff>
    </xdr:to>
    <mc:AlternateContent xmlns:mc="http://schemas.openxmlformats.org/markup-compatibility/2006" xmlns:a14="http://schemas.microsoft.com/office/drawing/2010/main">
      <mc:Choice Requires="a14">
        <xdr:graphicFrame macro="">
          <xdr:nvGraphicFramePr>
            <xdr:cNvPr id="11" name="PaymentStatus">
              <a:extLst>
                <a:ext uri="{FF2B5EF4-FFF2-40B4-BE49-F238E27FC236}">
                  <a16:creationId xmlns:a16="http://schemas.microsoft.com/office/drawing/2014/main" id="{616185D8-C6BD-C02C-95BD-EA5883B953DB}"/>
                </a:ext>
              </a:extLst>
            </xdr:cNvPr>
            <xdr:cNvGraphicFramePr/>
          </xdr:nvGraphicFramePr>
          <xdr:xfrm>
            <a:off x="0" y="0"/>
            <a:ext cx="0" cy="0"/>
          </xdr:xfrm>
          <a:graphic>
            <a:graphicData uri="http://schemas.microsoft.com/office/drawing/2010/slicer">
              <sle:slicer xmlns:sle="http://schemas.microsoft.com/office/drawing/2010/slicer" name="PaymentStatus"/>
            </a:graphicData>
          </a:graphic>
        </xdr:graphicFrame>
      </mc:Choice>
      <mc:Fallback xmlns="">
        <xdr:sp macro="" textlink="">
          <xdr:nvSpPr>
            <xdr:cNvPr id="0" name=""/>
            <xdr:cNvSpPr>
              <a:spLocks noTextEdit="1"/>
            </xdr:cNvSpPr>
          </xdr:nvSpPr>
          <xdr:spPr>
            <a:xfrm>
              <a:off x="7101840" y="3291841"/>
              <a:ext cx="163830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4.742649189815" createdVersion="8" refreshedVersion="8" minRefreshableVersion="3" recordCount="1200" xr:uid="{0E96F1AB-2EF0-4DD4-AAF7-E39F74238D03}">
  <cacheSource type="worksheet">
    <worksheetSource name="vw_DashboardData"/>
  </cacheSource>
  <cacheFields count="14">
    <cacheField name="CustomerID" numFmtId="0">
      <sharedItems containsSemiMixedTypes="0" containsString="0" containsNumber="1" containsInteger="1" minValue="2" maxValue="101"/>
    </cacheField>
    <cacheField name="FirstName" numFmtId="0">
      <sharedItems/>
    </cacheField>
    <cacheField name="LastName" numFmtId="0">
      <sharedItems/>
    </cacheField>
    <cacheField name="CategoryName" numFmtId="0">
      <sharedItems count="4">
        <s v="Residential"/>
        <s v="Commercial"/>
        <s v="Industrial"/>
        <s v="Agricultural"/>
      </sharedItems>
    </cacheField>
    <cacheField name="CityName" numFmtId="0">
      <sharedItems/>
    </cacheField>
    <cacheField name="StateName" numFmtId="0">
      <sharedItems count="7">
        <s v="Maharashtra"/>
        <s v="Gujarat"/>
        <s v="Karnataka"/>
        <s v="Rajasthan"/>
        <s v="Tamil Nadu"/>
        <s v="Delhi"/>
        <s v="Uttar Pradesh"/>
      </sharedItems>
    </cacheField>
    <cacheField name="ReadingDate"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13"/>
    </cacheField>
    <cacheField name="UnitsConsumed" numFmtId="0">
      <sharedItems containsSemiMixedTypes="0" containsString="0" containsNumber="1" containsInteger="1" minValue="150" maxValue="400"/>
    </cacheField>
    <cacheField name="PeakDemand" numFmtId="0">
      <sharedItems containsSemiMixedTypes="0" containsString="0" containsNumber="1" containsInteger="1" minValue="2" maxValue="10"/>
    </cacheField>
    <cacheField name="PowerFactor" numFmtId="0">
      <sharedItems containsSemiMixedTypes="0" containsString="0" containsNumber="1" minValue="0.85" maxValue="0.99"/>
    </cacheField>
    <cacheField name="BillAmount" numFmtId="0">
      <sharedItems containsSemiMixedTypes="0" containsString="0" containsNumber="1" minValue="795" maxValue="4700"/>
    </cacheField>
    <cacheField name="PaymentStatus" numFmtId="0">
      <sharedItems count="2">
        <s v="Unpaid"/>
        <s v="Paid"/>
      </sharedItems>
    </cacheField>
    <cacheField name="Days (ReadingDate)" numFmtId="0" databaseField="0">
      <fieldGroup base="6">
        <rangePr groupBy="days" startDate="2025-01-01T00:00:00" endDate="2025-12-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s (ReadingDate)" numFmtId="0" databaseField="0">
      <fieldGroup base="6">
        <rangePr groupBy="months" startDate="2025-01-01T00:00:00" endDate="2025-12-02T00:00:00"/>
        <groupItems count="14">
          <s v="&lt;01-01-2025"/>
          <s v="Jan"/>
          <s v="Feb"/>
          <s v="Mar"/>
          <s v="Apr"/>
          <s v="May"/>
          <s v="Jun"/>
          <s v="Jul"/>
          <s v="Aug"/>
          <s v="Sep"/>
          <s v="Oct"/>
          <s v="Nov"/>
          <s v="Dec"/>
          <s v="&gt;02-12-2025"/>
        </groupItems>
      </fieldGroup>
    </cacheField>
  </cacheFields>
  <extLst>
    <ext xmlns:x14="http://schemas.microsoft.com/office/spreadsheetml/2009/9/main" uri="{725AE2AE-9491-48be-B2B4-4EB974FC3084}">
      <x14:pivotCacheDefinition pivotCacheId="2109662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2"/>
    <s v="Amit"/>
    <s v="Sharma"/>
    <x v="0"/>
    <s v="Mumbai"/>
    <x v="0"/>
    <x v="0"/>
    <n v="280"/>
    <n v="7"/>
    <n v="0.97"/>
    <n v="1920"/>
    <x v="0"/>
  </r>
  <r>
    <n v="2"/>
    <s v="Amit"/>
    <s v="Sharma"/>
    <x v="0"/>
    <s v="Mumbai"/>
    <x v="0"/>
    <x v="1"/>
    <n v="349"/>
    <n v="10"/>
    <n v="0.86"/>
    <n v="2368.5"/>
    <x v="1"/>
  </r>
  <r>
    <n v="2"/>
    <s v="Amit"/>
    <s v="Sharma"/>
    <x v="0"/>
    <s v="Mumbai"/>
    <x v="0"/>
    <x v="2"/>
    <n v="287"/>
    <n v="10"/>
    <n v="0.9"/>
    <n v="1965.5"/>
    <x v="1"/>
  </r>
  <r>
    <n v="2"/>
    <s v="Amit"/>
    <s v="Sharma"/>
    <x v="0"/>
    <s v="Mumbai"/>
    <x v="0"/>
    <x v="3"/>
    <n v="244"/>
    <n v="6"/>
    <n v="0.89"/>
    <n v="1686"/>
    <x v="0"/>
  </r>
  <r>
    <n v="2"/>
    <s v="Amit"/>
    <s v="Sharma"/>
    <x v="0"/>
    <s v="Mumbai"/>
    <x v="0"/>
    <x v="4"/>
    <n v="275"/>
    <n v="6"/>
    <n v="0.87"/>
    <n v="1887.5"/>
    <x v="1"/>
  </r>
  <r>
    <n v="2"/>
    <s v="Amit"/>
    <s v="Sharma"/>
    <x v="0"/>
    <s v="Mumbai"/>
    <x v="0"/>
    <x v="5"/>
    <n v="386"/>
    <n v="9"/>
    <n v="0.86"/>
    <n v="2609"/>
    <x v="1"/>
  </r>
  <r>
    <n v="2"/>
    <s v="Amit"/>
    <s v="Sharma"/>
    <x v="0"/>
    <s v="Mumbai"/>
    <x v="0"/>
    <x v="6"/>
    <n v="199"/>
    <n v="6"/>
    <n v="0.87"/>
    <n v="1393.5"/>
    <x v="1"/>
  </r>
  <r>
    <n v="2"/>
    <s v="Amit"/>
    <s v="Sharma"/>
    <x v="0"/>
    <s v="Mumbai"/>
    <x v="0"/>
    <x v="7"/>
    <n v="291"/>
    <n v="8"/>
    <n v="0.87"/>
    <n v="1991.5"/>
    <x v="1"/>
  </r>
  <r>
    <n v="2"/>
    <s v="Amit"/>
    <s v="Sharma"/>
    <x v="0"/>
    <s v="Mumbai"/>
    <x v="0"/>
    <x v="8"/>
    <n v="169"/>
    <n v="10"/>
    <n v="0.92"/>
    <n v="1198.5"/>
    <x v="1"/>
  </r>
  <r>
    <n v="2"/>
    <s v="Amit"/>
    <s v="Sharma"/>
    <x v="0"/>
    <s v="Mumbai"/>
    <x v="0"/>
    <x v="9"/>
    <n v="238"/>
    <n v="3"/>
    <n v="0.97"/>
    <n v="1647"/>
    <x v="1"/>
  </r>
  <r>
    <n v="2"/>
    <s v="Amit"/>
    <s v="Sharma"/>
    <x v="0"/>
    <s v="Mumbai"/>
    <x v="0"/>
    <x v="10"/>
    <n v="266"/>
    <n v="7"/>
    <n v="0.99"/>
    <n v="1829"/>
    <x v="1"/>
  </r>
  <r>
    <n v="2"/>
    <s v="Amit"/>
    <s v="Sharma"/>
    <x v="0"/>
    <s v="Mumbai"/>
    <x v="0"/>
    <x v="11"/>
    <n v="313"/>
    <n v="4"/>
    <n v="0.86"/>
    <n v="2134.5"/>
    <x v="0"/>
  </r>
  <r>
    <n v="3"/>
    <s v="Priya"/>
    <s v="Verma"/>
    <x v="0"/>
    <s v="Pune"/>
    <x v="0"/>
    <x v="0"/>
    <n v="341"/>
    <n v="10"/>
    <n v="0.93"/>
    <n v="2316.5"/>
    <x v="1"/>
  </r>
  <r>
    <n v="3"/>
    <s v="Priya"/>
    <s v="Verma"/>
    <x v="0"/>
    <s v="Pune"/>
    <x v="0"/>
    <x v="1"/>
    <n v="292"/>
    <n v="3"/>
    <n v="0.94"/>
    <n v="1998"/>
    <x v="1"/>
  </r>
  <r>
    <n v="3"/>
    <s v="Priya"/>
    <s v="Verma"/>
    <x v="0"/>
    <s v="Pune"/>
    <x v="0"/>
    <x v="2"/>
    <n v="226"/>
    <n v="5"/>
    <n v="0.93"/>
    <n v="1569"/>
    <x v="1"/>
  </r>
  <r>
    <n v="3"/>
    <s v="Priya"/>
    <s v="Verma"/>
    <x v="0"/>
    <s v="Pune"/>
    <x v="0"/>
    <x v="3"/>
    <n v="355"/>
    <n v="7"/>
    <n v="0.98"/>
    <n v="2407.5"/>
    <x v="1"/>
  </r>
  <r>
    <n v="3"/>
    <s v="Priya"/>
    <s v="Verma"/>
    <x v="0"/>
    <s v="Pune"/>
    <x v="0"/>
    <x v="4"/>
    <n v="256"/>
    <n v="4"/>
    <n v="0.97"/>
    <n v="1764"/>
    <x v="0"/>
  </r>
  <r>
    <n v="3"/>
    <s v="Priya"/>
    <s v="Verma"/>
    <x v="0"/>
    <s v="Pune"/>
    <x v="0"/>
    <x v="5"/>
    <n v="386"/>
    <n v="3"/>
    <n v="0.93"/>
    <n v="2609"/>
    <x v="1"/>
  </r>
  <r>
    <n v="3"/>
    <s v="Priya"/>
    <s v="Verma"/>
    <x v="0"/>
    <s v="Pune"/>
    <x v="0"/>
    <x v="6"/>
    <n v="261"/>
    <n v="2"/>
    <n v="0.97"/>
    <n v="1796.5"/>
    <x v="1"/>
  </r>
  <r>
    <n v="3"/>
    <s v="Priya"/>
    <s v="Verma"/>
    <x v="0"/>
    <s v="Pune"/>
    <x v="0"/>
    <x v="7"/>
    <n v="213"/>
    <n v="6"/>
    <n v="0.93"/>
    <n v="1484.5"/>
    <x v="1"/>
  </r>
  <r>
    <n v="3"/>
    <s v="Priya"/>
    <s v="Verma"/>
    <x v="0"/>
    <s v="Pune"/>
    <x v="0"/>
    <x v="8"/>
    <n v="227"/>
    <n v="7"/>
    <n v="0.86"/>
    <n v="1575.5"/>
    <x v="1"/>
  </r>
  <r>
    <n v="3"/>
    <s v="Priya"/>
    <s v="Verma"/>
    <x v="0"/>
    <s v="Pune"/>
    <x v="0"/>
    <x v="9"/>
    <n v="220"/>
    <n v="8"/>
    <n v="0.92"/>
    <n v="1530"/>
    <x v="1"/>
  </r>
  <r>
    <n v="3"/>
    <s v="Priya"/>
    <s v="Verma"/>
    <x v="0"/>
    <s v="Pune"/>
    <x v="0"/>
    <x v="10"/>
    <n v="343"/>
    <n v="4"/>
    <n v="0.92"/>
    <n v="2329.5"/>
    <x v="0"/>
  </r>
  <r>
    <n v="3"/>
    <s v="Priya"/>
    <s v="Verma"/>
    <x v="0"/>
    <s v="Pune"/>
    <x v="0"/>
    <x v="11"/>
    <n v="336"/>
    <n v="8"/>
    <n v="0.91"/>
    <n v="2284"/>
    <x v="1"/>
  </r>
  <r>
    <n v="4"/>
    <s v="Rahul"/>
    <s v="Patel"/>
    <x v="1"/>
    <s v="Ahmedabad"/>
    <x v="1"/>
    <x v="0"/>
    <n v="319"/>
    <n v="8"/>
    <n v="0.96"/>
    <n v="2865.8"/>
    <x v="0"/>
  </r>
  <r>
    <n v="4"/>
    <s v="Rahul"/>
    <s v="Patel"/>
    <x v="1"/>
    <s v="Ahmedabad"/>
    <x v="1"/>
    <x v="1"/>
    <n v="184"/>
    <n v="4"/>
    <n v="0.94"/>
    <n v="1758.8"/>
    <x v="0"/>
  </r>
  <r>
    <n v="4"/>
    <s v="Rahul"/>
    <s v="Patel"/>
    <x v="1"/>
    <s v="Ahmedabad"/>
    <x v="1"/>
    <x v="2"/>
    <n v="262"/>
    <n v="6"/>
    <n v="0.97"/>
    <n v="2398.4"/>
    <x v="1"/>
  </r>
  <r>
    <n v="4"/>
    <s v="Rahul"/>
    <s v="Patel"/>
    <x v="1"/>
    <s v="Ahmedabad"/>
    <x v="1"/>
    <x v="3"/>
    <n v="323"/>
    <n v="4"/>
    <n v="0.89"/>
    <n v="2898.6"/>
    <x v="1"/>
  </r>
  <r>
    <n v="4"/>
    <s v="Rahul"/>
    <s v="Patel"/>
    <x v="1"/>
    <s v="Ahmedabad"/>
    <x v="1"/>
    <x v="4"/>
    <n v="205"/>
    <n v="6"/>
    <n v="0.98"/>
    <n v="1931"/>
    <x v="1"/>
  </r>
  <r>
    <n v="4"/>
    <s v="Rahul"/>
    <s v="Patel"/>
    <x v="1"/>
    <s v="Ahmedabad"/>
    <x v="1"/>
    <x v="5"/>
    <n v="324"/>
    <n v="3"/>
    <n v="0.88"/>
    <n v="2906.8"/>
    <x v="1"/>
  </r>
  <r>
    <n v="4"/>
    <s v="Rahul"/>
    <s v="Patel"/>
    <x v="1"/>
    <s v="Ahmedabad"/>
    <x v="1"/>
    <x v="6"/>
    <n v="379"/>
    <n v="3"/>
    <n v="0.92"/>
    <n v="3357.8"/>
    <x v="1"/>
  </r>
  <r>
    <n v="4"/>
    <s v="Rahul"/>
    <s v="Patel"/>
    <x v="1"/>
    <s v="Ahmedabad"/>
    <x v="1"/>
    <x v="7"/>
    <n v="260"/>
    <n v="7"/>
    <n v="0.94"/>
    <n v="2382"/>
    <x v="1"/>
  </r>
  <r>
    <n v="4"/>
    <s v="Rahul"/>
    <s v="Patel"/>
    <x v="1"/>
    <s v="Ahmedabad"/>
    <x v="1"/>
    <x v="8"/>
    <n v="193"/>
    <n v="6"/>
    <n v="0.96"/>
    <n v="1832.6"/>
    <x v="1"/>
  </r>
  <r>
    <n v="4"/>
    <s v="Rahul"/>
    <s v="Patel"/>
    <x v="1"/>
    <s v="Ahmedabad"/>
    <x v="1"/>
    <x v="9"/>
    <n v="284"/>
    <n v="4"/>
    <n v="0.99"/>
    <n v="2578.8000000000002"/>
    <x v="1"/>
  </r>
  <r>
    <n v="4"/>
    <s v="Rahul"/>
    <s v="Patel"/>
    <x v="1"/>
    <s v="Ahmedabad"/>
    <x v="1"/>
    <x v="10"/>
    <n v="153"/>
    <n v="2"/>
    <n v="0.85"/>
    <n v="1504.6"/>
    <x v="1"/>
  </r>
  <r>
    <n v="4"/>
    <s v="Rahul"/>
    <s v="Patel"/>
    <x v="1"/>
    <s v="Ahmedabad"/>
    <x v="1"/>
    <x v="11"/>
    <n v="266"/>
    <n v="10"/>
    <n v="0.96"/>
    <n v="2431.1999999999998"/>
    <x v="1"/>
  </r>
  <r>
    <n v="5"/>
    <s v="Sneha"/>
    <s v="Iyer"/>
    <x v="0"/>
    <s v="Surat"/>
    <x v="1"/>
    <x v="0"/>
    <n v="246"/>
    <n v="9"/>
    <n v="0.85"/>
    <n v="1699"/>
    <x v="0"/>
  </r>
  <r>
    <n v="5"/>
    <s v="Sneha"/>
    <s v="Iyer"/>
    <x v="0"/>
    <s v="Surat"/>
    <x v="1"/>
    <x v="1"/>
    <n v="299"/>
    <n v="4"/>
    <n v="0.96"/>
    <n v="2043.5"/>
    <x v="1"/>
  </r>
  <r>
    <n v="5"/>
    <s v="Sneha"/>
    <s v="Iyer"/>
    <x v="0"/>
    <s v="Surat"/>
    <x v="1"/>
    <x v="2"/>
    <n v="158"/>
    <n v="3"/>
    <n v="0.91"/>
    <n v="1127"/>
    <x v="1"/>
  </r>
  <r>
    <n v="5"/>
    <s v="Sneha"/>
    <s v="Iyer"/>
    <x v="0"/>
    <s v="Surat"/>
    <x v="1"/>
    <x v="3"/>
    <n v="376"/>
    <n v="9"/>
    <n v="0.93"/>
    <n v="2544"/>
    <x v="1"/>
  </r>
  <r>
    <n v="5"/>
    <s v="Sneha"/>
    <s v="Iyer"/>
    <x v="0"/>
    <s v="Surat"/>
    <x v="1"/>
    <x v="4"/>
    <n v="359"/>
    <n v="7"/>
    <n v="0.91"/>
    <n v="2433.5"/>
    <x v="1"/>
  </r>
  <r>
    <n v="5"/>
    <s v="Sneha"/>
    <s v="Iyer"/>
    <x v="0"/>
    <s v="Surat"/>
    <x v="1"/>
    <x v="5"/>
    <n v="345"/>
    <n v="8"/>
    <n v="0.87"/>
    <n v="2342.5"/>
    <x v="1"/>
  </r>
  <r>
    <n v="5"/>
    <s v="Sneha"/>
    <s v="Iyer"/>
    <x v="0"/>
    <s v="Surat"/>
    <x v="1"/>
    <x v="6"/>
    <n v="384"/>
    <n v="7"/>
    <n v="0.91"/>
    <n v="2596"/>
    <x v="1"/>
  </r>
  <r>
    <n v="5"/>
    <s v="Sneha"/>
    <s v="Iyer"/>
    <x v="0"/>
    <s v="Surat"/>
    <x v="1"/>
    <x v="7"/>
    <n v="257"/>
    <n v="9"/>
    <n v="0.92"/>
    <n v="1770.5"/>
    <x v="1"/>
  </r>
  <r>
    <n v="5"/>
    <s v="Sneha"/>
    <s v="Iyer"/>
    <x v="0"/>
    <s v="Surat"/>
    <x v="1"/>
    <x v="8"/>
    <n v="210"/>
    <n v="6"/>
    <n v="0.91"/>
    <n v="1465"/>
    <x v="1"/>
  </r>
  <r>
    <n v="5"/>
    <s v="Sneha"/>
    <s v="Iyer"/>
    <x v="0"/>
    <s v="Surat"/>
    <x v="1"/>
    <x v="9"/>
    <n v="338"/>
    <n v="4"/>
    <n v="0.94"/>
    <n v="2297"/>
    <x v="0"/>
  </r>
  <r>
    <n v="5"/>
    <s v="Sneha"/>
    <s v="Iyer"/>
    <x v="0"/>
    <s v="Surat"/>
    <x v="1"/>
    <x v="10"/>
    <n v="310"/>
    <n v="10"/>
    <n v="0.99"/>
    <n v="2115"/>
    <x v="1"/>
  </r>
  <r>
    <n v="5"/>
    <s v="Sneha"/>
    <s v="Iyer"/>
    <x v="0"/>
    <s v="Surat"/>
    <x v="1"/>
    <x v="11"/>
    <n v="273"/>
    <n v="6"/>
    <n v="0.94"/>
    <n v="1874.5"/>
    <x v="1"/>
  </r>
  <r>
    <n v="6"/>
    <s v="Vikram"/>
    <s v="Singh"/>
    <x v="2"/>
    <s v="Bengaluru"/>
    <x v="2"/>
    <x v="0"/>
    <n v="158"/>
    <n v="5"/>
    <n v="0.97"/>
    <n v="2159"/>
    <x v="1"/>
  </r>
  <r>
    <n v="6"/>
    <s v="Vikram"/>
    <s v="Singh"/>
    <x v="2"/>
    <s v="Bengaluru"/>
    <x v="2"/>
    <x v="1"/>
    <n v="299"/>
    <n v="6"/>
    <n v="0.87"/>
    <n v="3639.5"/>
    <x v="1"/>
  </r>
  <r>
    <n v="6"/>
    <s v="Vikram"/>
    <s v="Singh"/>
    <x v="2"/>
    <s v="Bengaluru"/>
    <x v="2"/>
    <x v="2"/>
    <n v="244"/>
    <n v="9"/>
    <n v="0.88"/>
    <n v="3062"/>
    <x v="1"/>
  </r>
  <r>
    <n v="6"/>
    <s v="Vikram"/>
    <s v="Singh"/>
    <x v="2"/>
    <s v="Bengaluru"/>
    <x v="2"/>
    <x v="3"/>
    <n v="249"/>
    <n v="4"/>
    <n v="0.95"/>
    <n v="3114.5"/>
    <x v="1"/>
  </r>
  <r>
    <n v="6"/>
    <s v="Vikram"/>
    <s v="Singh"/>
    <x v="2"/>
    <s v="Bengaluru"/>
    <x v="2"/>
    <x v="4"/>
    <n v="174"/>
    <n v="10"/>
    <n v="0.86"/>
    <n v="2327"/>
    <x v="1"/>
  </r>
  <r>
    <n v="6"/>
    <s v="Vikram"/>
    <s v="Singh"/>
    <x v="2"/>
    <s v="Bengaluru"/>
    <x v="2"/>
    <x v="5"/>
    <n v="376"/>
    <n v="10"/>
    <n v="0.93"/>
    <n v="4448"/>
    <x v="0"/>
  </r>
  <r>
    <n v="6"/>
    <s v="Vikram"/>
    <s v="Singh"/>
    <x v="2"/>
    <s v="Bengaluru"/>
    <x v="2"/>
    <x v="6"/>
    <n v="329"/>
    <n v="9"/>
    <n v="0.86"/>
    <n v="3954.5"/>
    <x v="1"/>
  </r>
  <r>
    <n v="6"/>
    <s v="Vikram"/>
    <s v="Singh"/>
    <x v="2"/>
    <s v="Bengaluru"/>
    <x v="2"/>
    <x v="7"/>
    <n v="388"/>
    <n v="3"/>
    <n v="0.93"/>
    <n v="4574"/>
    <x v="1"/>
  </r>
  <r>
    <n v="6"/>
    <s v="Vikram"/>
    <s v="Singh"/>
    <x v="2"/>
    <s v="Bengaluru"/>
    <x v="2"/>
    <x v="8"/>
    <n v="321"/>
    <n v="9"/>
    <n v="0.99"/>
    <n v="3870.5"/>
    <x v="0"/>
  </r>
  <r>
    <n v="6"/>
    <s v="Vikram"/>
    <s v="Singh"/>
    <x v="2"/>
    <s v="Bengaluru"/>
    <x v="2"/>
    <x v="9"/>
    <n v="366"/>
    <n v="7"/>
    <n v="0.9"/>
    <n v="4343"/>
    <x v="0"/>
  </r>
  <r>
    <n v="6"/>
    <s v="Vikram"/>
    <s v="Singh"/>
    <x v="2"/>
    <s v="Bengaluru"/>
    <x v="2"/>
    <x v="10"/>
    <n v="276"/>
    <n v="10"/>
    <n v="0.96"/>
    <n v="3398"/>
    <x v="1"/>
  </r>
  <r>
    <n v="6"/>
    <s v="Vikram"/>
    <s v="Singh"/>
    <x v="2"/>
    <s v="Bengaluru"/>
    <x v="2"/>
    <x v="11"/>
    <n v="348"/>
    <n v="5"/>
    <n v="0.97"/>
    <n v="4154"/>
    <x v="1"/>
  </r>
  <r>
    <n v="7"/>
    <s v="User1"/>
    <s v="Test1"/>
    <x v="1"/>
    <s v="Pune"/>
    <x v="0"/>
    <x v="0"/>
    <n v="274"/>
    <n v="5"/>
    <n v="0.87"/>
    <n v="2496.8000000000002"/>
    <x v="1"/>
  </r>
  <r>
    <n v="7"/>
    <s v="User1"/>
    <s v="Test1"/>
    <x v="1"/>
    <s v="Pune"/>
    <x v="0"/>
    <x v="1"/>
    <n v="201"/>
    <n v="7"/>
    <n v="0.87"/>
    <n v="1898.2"/>
    <x v="1"/>
  </r>
  <r>
    <n v="7"/>
    <s v="User1"/>
    <s v="Test1"/>
    <x v="1"/>
    <s v="Pune"/>
    <x v="0"/>
    <x v="2"/>
    <n v="399"/>
    <n v="5"/>
    <n v="0.97"/>
    <n v="3521.8"/>
    <x v="0"/>
  </r>
  <r>
    <n v="7"/>
    <s v="User1"/>
    <s v="Test1"/>
    <x v="1"/>
    <s v="Pune"/>
    <x v="0"/>
    <x v="3"/>
    <n v="299"/>
    <n v="4"/>
    <n v="0.97"/>
    <n v="2701.8"/>
    <x v="1"/>
  </r>
  <r>
    <n v="7"/>
    <s v="User1"/>
    <s v="Test1"/>
    <x v="1"/>
    <s v="Pune"/>
    <x v="0"/>
    <x v="4"/>
    <n v="175"/>
    <n v="2"/>
    <n v="0.96"/>
    <n v="1685"/>
    <x v="0"/>
  </r>
  <r>
    <n v="7"/>
    <s v="User1"/>
    <s v="Test1"/>
    <x v="1"/>
    <s v="Pune"/>
    <x v="0"/>
    <x v="5"/>
    <n v="379"/>
    <n v="9"/>
    <n v="0.9"/>
    <n v="3357.8"/>
    <x v="0"/>
  </r>
  <r>
    <n v="7"/>
    <s v="User1"/>
    <s v="Test1"/>
    <x v="1"/>
    <s v="Pune"/>
    <x v="0"/>
    <x v="6"/>
    <n v="179"/>
    <n v="9"/>
    <n v="0.85"/>
    <n v="1717.8"/>
    <x v="0"/>
  </r>
  <r>
    <n v="7"/>
    <s v="User1"/>
    <s v="Test1"/>
    <x v="1"/>
    <s v="Pune"/>
    <x v="0"/>
    <x v="7"/>
    <n v="372"/>
    <n v="3"/>
    <n v="0.93"/>
    <n v="3300.4"/>
    <x v="1"/>
  </r>
  <r>
    <n v="7"/>
    <s v="User1"/>
    <s v="Test1"/>
    <x v="1"/>
    <s v="Pune"/>
    <x v="0"/>
    <x v="8"/>
    <n v="382"/>
    <n v="8"/>
    <n v="0.92"/>
    <n v="3382.4"/>
    <x v="1"/>
  </r>
  <r>
    <n v="7"/>
    <s v="User1"/>
    <s v="Test1"/>
    <x v="1"/>
    <s v="Pune"/>
    <x v="0"/>
    <x v="9"/>
    <n v="287"/>
    <n v="3"/>
    <n v="0.92"/>
    <n v="2603.4"/>
    <x v="1"/>
  </r>
  <r>
    <n v="7"/>
    <s v="User1"/>
    <s v="Test1"/>
    <x v="1"/>
    <s v="Pune"/>
    <x v="0"/>
    <x v="10"/>
    <n v="390"/>
    <n v="4"/>
    <n v="0.96"/>
    <n v="3448"/>
    <x v="0"/>
  </r>
  <r>
    <n v="7"/>
    <s v="User1"/>
    <s v="Test1"/>
    <x v="1"/>
    <s v="Pune"/>
    <x v="0"/>
    <x v="11"/>
    <n v="257"/>
    <n v="2"/>
    <n v="0.96"/>
    <n v="2357.4"/>
    <x v="1"/>
  </r>
  <r>
    <n v="8"/>
    <s v="User2"/>
    <s v="Test2"/>
    <x v="2"/>
    <s v="Nagpur"/>
    <x v="0"/>
    <x v="0"/>
    <n v="156"/>
    <n v="7"/>
    <n v="0.97"/>
    <n v="2138"/>
    <x v="1"/>
  </r>
  <r>
    <n v="8"/>
    <s v="User2"/>
    <s v="Test2"/>
    <x v="2"/>
    <s v="Nagpur"/>
    <x v="0"/>
    <x v="1"/>
    <n v="375"/>
    <n v="3"/>
    <n v="0.85"/>
    <n v="4437.5"/>
    <x v="1"/>
  </r>
  <r>
    <n v="8"/>
    <s v="User2"/>
    <s v="Test2"/>
    <x v="2"/>
    <s v="Nagpur"/>
    <x v="0"/>
    <x v="2"/>
    <n v="269"/>
    <n v="5"/>
    <n v="0.96"/>
    <n v="3324.5"/>
    <x v="1"/>
  </r>
  <r>
    <n v="8"/>
    <s v="User2"/>
    <s v="Test2"/>
    <x v="2"/>
    <s v="Nagpur"/>
    <x v="0"/>
    <x v="3"/>
    <n v="323"/>
    <n v="9"/>
    <n v="0.93"/>
    <n v="3891.5"/>
    <x v="1"/>
  </r>
  <r>
    <n v="8"/>
    <s v="User2"/>
    <s v="Test2"/>
    <x v="2"/>
    <s v="Nagpur"/>
    <x v="0"/>
    <x v="4"/>
    <n v="264"/>
    <n v="5"/>
    <n v="0.93"/>
    <n v="3272"/>
    <x v="1"/>
  </r>
  <r>
    <n v="8"/>
    <s v="User2"/>
    <s v="Test2"/>
    <x v="2"/>
    <s v="Nagpur"/>
    <x v="0"/>
    <x v="5"/>
    <n v="366"/>
    <n v="9"/>
    <n v="0.96"/>
    <n v="4343"/>
    <x v="1"/>
  </r>
  <r>
    <n v="8"/>
    <s v="User2"/>
    <s v="Test2"/>
    <x v="2"/>
    <s v="Nagpur"/>
    <x v="0"/>
    <x v="6"/>
    <n v="276"/>
    <n v="7"/>
    <n v="0.92"/>
    <n v="3398"/>
    <x v="1"/>
  </r>
  <r>
    <n v="8"/>
    <s v="User2"/>
    <s v="Test2"/>
    <x v="2"/>
    <s v="Nagpur"/>
    <x v="0"/>
    <x v="7"/>
    <n v="359"/>
    <n v="9"/>
    <n v="0.93"/>
    <n v="4269.5"/>
    <x v="1"/>
  </r>
  <r>
    <n v="8"/>
    <s v="User2"/>
    <s v="Test2"/>
    <x v="2"/>
    <s v="Nagpur"/>
    <x v="0"/>
    <x v="8"/>
    <n v="311"/>
    <n v="9"/>
    <n v="0.92"/>
    <n v="3765.5"/>
    <x v="1"/>
  </r>
  <r>
    <n v="8"/>
    <s v="User2"/>
    <s v="Test2"/>
    <x v="2"/>
    <s v="Nagpur"/>
    <x v="0"/>
    <x v="9"/>
    <n v="216"/>
    <n v="5"/>
    <n v="0.86"/>
    <n v="2768"/>
    <x v="1"/>
  </r>
  <r>
    <n v="8"/>
    <s v="User2"/>
    <s v="Test2"/>
    <x v="2"/>
    <s v="Nagpur"/>
    <x v="0"/>
    <x v="10"/>
    <n v="156"/>
    <n v="4"/>
    <n v="0.89"/>
    <n v="2138"/>
    <x v="1"/>
  </r>
  <r>
    <n v="8"/>
    <s v="User2"/>
    <s v="Test2"/>
    <x v="2"/>
    <s v="Nagpur"/>
    <x v="0"/>
    <x v="11"/>
    <n v="312"/>
    <n v="7"/>
    <n v="0.91"/>
    <n v="3776"/>
    <x v="1"/>
  </r>
  <r>
    <n v="9"/>
    <s v="User3"/>
    <s v="Test3"/>
    <x v="3"/>
    <s v="Ahmedabad"/>
    <x v="1"/>
    <x v="0"/>
    <n v="154"/>
    <n v="3"/>
    <n v="0.99"/>
    <n v="814.2"/>
    <x v="1"/>
  </r>
  <r>
    <n v="9"/>
    <s v="User3"/>
    <s v="Test3"/>
    <x v="3"/>
    <s v="Ahmedabad"/>
    <x v="1"/>
    <x v="1"/>
    <n v="340"/>
    <n v="6"/>
    <n v="0.94"/>
    <n v="1707"/>
    <x v="1"/>
  </r>
  <r>
    <n v="9"/>
    <s v="User3"/>
    <s v="Test3"/>
    <x v="3"/>
    <s v="Ahmedabad"/>
    <x v="1"/>
    <x v="2"/>
    <n v="346"/>
    <n v="10"/>
    <n v="0.97"/>
    <n v="1735.8"/>
    <x v="1"/>
  </r>
  <r>
    <n v="9"/>
    <s v="User3"/>
    <s v="Test3"/>
    <x v="3"/>
    <s v="Ahmedabad"/>
    <x v="1"/>
    <x v="3"/>
    <n v="179"/>
    <n v="9"/>
    <n v="0.89"/>
    <n v="934.2"/>
    <x v="1"/>
  </r>
  <r>
    <n v="9"/>
    <s v="User3"/>
    <s v="Test3"/>
    <x v="3"/>
    <s v="Ahmedabad"/>
    <x v="1"/>
    <x v="4"/>
    <n v="365"/>
    <n v="6"/>
    <n v="0.9"/>
    <n v="1827"/>
    <x v="1"/>
  </r>
  <r>
    <n v="9"/>
    <s v="User3"/>
    <s v="Test3"/>
    <x v="3"/>
    <s v="Ahmedabad"/>
    <x v="1"/>
    <x v="5"/>
    <n v="328"/>
    <n v="2"/>
    <n v="0.99"/>
    <n v="1649.4"/>
    <x v="1"/>
  </r>
  <r>
    <n v="9"/>
    <s v="User3"/>
    <s v="Test3"/>
    <x v="3"/>
    <s v="Ahmedabad"/>
    <x v="1"/>
    <x v="6"/>
    <n v="207"/>
    <n v="4"/>
    <n v="0.99"/>
    <n v="1068.5999999999999"/>
    <x v="0"/>
  </r>
  <r>
    <n v="9"/>
    <s v="User3"/>
    <s v="Test3"/>
    <x v="3"/>
    <s v="Ahmedabad"/>
    <x v="1"/>
    <x v="7"/>
    <n v="271"/>
    <n v="4"/>
    <n v="0.87"/>
    <n v="1375.8"/>
    <x v="1"/>
  </r>
  <r>
    <n v="9"/>
    <s v="User3"/>
    <s v="Test3"/>
    <x v="3"/>
    <s v="Ahmedabad"/>
    <x v="1"/>
    <x v="8"/>
    <n v="234"/>
    <n v="2"/>
    <n v="0.99"/>
    <n v="1198.2"/>
    <x v="1"/>
  </r>
  <r>
    <n v="9"/>
    <s v="User3"/>
    <s v="Test3"/>
    <x v="3"/>
    <s v="Ahmedabad"/>
    <x v="1"/>
    <x v="9"/>
    <n v="371"/>
    <n v="9"/>
    <n v="0.86"/>
    <n v="1855.8"/>
    <x v="1"/>
  </r>
  <r>
    <n v="9"/>
    <s v="User3"/>
    <s v="Test3"/>
    <x v="3"/>
    <s v="Ahmedabad"/>
    <x v="1"/>
    <x v="10"/>
    <n v="399"/>
    <n v="10"/>
    <n v="0.85"/>
    <n v="1990.2"/>
    <x v="0"/>
  </r>
  <r>
    <n v="9"/>
    <s v="User3"/>
    <s v="Test3"/>
    <x v="3"/>
    <s v="Ahmedabad"/>
    <x v="1"/>
    <x v="11"/>
    <n v="277"/>
    <n v="2"/>
    <n v="0.87"/>
    <n v="1404.6"/>
    <x v="1"/>
  </r>
  <r>
    <n v="10"/>
    <s v="User4"/>
    <s v="Test4"/>
    <x v="0"/>
    <s v="Surat"/>
    <x v="1"/>
    <x v="0"/>
    <n v="225"/>
    <n v="5"/>
    <n v="0.86"/>
    <n v="1562.5"/>
    <x v="1"/>
  </r>
  <r>
    <n v="10"/>
    <s v="User4"/>
    <s v="Test4"/>
    <x v="0"/>
    <s v="Surat"/>
    <x v="1"/>
    <x v="1"/>
    <n v="224"/>
    <n v="2"/>
    <n v="0.91"/>
    <n v="1556"/>
    <x v="1"/>
  </r>
  <r>
    <n v="10"/>
    <s v="User4"/>
    <s v="Test4"/>
    <x v="0"/>
    <s v="Surat"/>
    <x v="1"/>
    <x v="2"/>
    <n v="263"/>
    <n v="4"/>
    <n v="0.94"/>
    <n v="1809.5"/>
    <x v="0"/>
  </r>
  <r>
    <n v="10"/>
    <s v="User4"/>
    <s v="Test4"/>
    <x v="0"/>
    <s v="Surat"/>
    <x v="1"/>
    <x v="3"/>
    <n v="333"/>
    <n v="3"/>
    <n v="0.89"/>
    <n v="2264.5"/>
    <x v="1"/>
  </r>
  <r>
    <n v="10"/>
    <s v="User4"/>
    <s v="Test4"/>
    <x v="0"/>
    <s v="Surat"/>
    <x v="1"/>
    <x v="4"/>
    <n v="344"/>
    <n v="5"/>
    <n v="0.88"/>
    <n v="2336"/>
    <x v="1"/>
  </r>
  <r>
    <n v="10"/>
    <s v="User4"/>
    <s v="Test4"/>
    <x v="0"/>
    <s v="Surat"/>
    <x v="1"/>
    <x v="5"/>
    <n v="199"/>
    <n v="6"/>
    <n v="0.87"/>
    <n v="1393.5"/>
    <x v="1"/>
  </r>
  <r>
    <n v="10"/>
    <s v="User4"/>
    <s v="Test4"/>
    <x v="0"/>
    <s v="Surat"/>
    <x v="1"/>
    <x v="6"/>
    <n v="294"/>
    <n v="9"/>
    <n v="0.99"/>
    <n v="2011"/>
    <x v="1"/>
  </r>
  <r>
    <n v="10"/>
    <s v="User4"/>
    <s v="Test4"/>
    <x v="0"/>
    <s v="Surat"/>
    <x v="1"/>
    <x v="7"/>
    <n v="234"/>
    <n v="8"/>
    <n v="0.94"/>
    <n v="1621"/>
    <x v="1"/>
  </r>
  <r>
    <n v="10"/>
    <s v="User4"/>
    <s v="Test4"/>
    <x v="0"/>
    <s v="Surat"/>
    <x v="1"/>
    <x v="8"/>
    <n v="271"/>
    <n v="3"/>
    <n v="0.88"/>
    <n v="1861.5"/>
    <x v="1"/>
  </r>
  <r>
    <n v="10"/>
    <s v="User4"/>
    <s v="Test4"/>
    <x v="0"/>
    <s v="Surat"/>
    <x v="1"/>
    <x v="9"/>
    <n v="266"/>
    <n v="9"/>
    <n v="0.91"/>
    <n v="1829"/>
    <x v="1"/>
  </r>
  <r>
    <n v="10"/>
    <s v="User4"/>
    <s v="Test4"/>
    <x v="0"/>
    <s v="Surat"/>
    <x v="1"/>
    <x v="10"/>
    <n v="353"/>
    <n v="7"/>
    <n v="0.92"/>
    <n v="2394.5"/>
    <x v="1"/>
  </r>
  <r>
    <n v="10"/>
    <s v="User4"/>
    <s v="Test4"/>
    <x v="0"/>
    <s v="Surat"/>
    <x v="1"/>
    <x v="11"/>
    <n v="255"/>
    <n v="9"/>
    <n v="0.91"/>
    <n v="1757.5"/>
    <x v="1"/>
  </r>
  <r>
    <n v="11"/>
    <s v="User5"/>
    <s v="Test5"/>
    <x v="1"/>
    <s v="Vadodara"/>
    <x v="1"/>
    <x v="0"/>
    <n v="185"/>
    <n v="2"/>
    <n v="0.88"/>
    <n v="1767"/>
    <x v="1"/>
  </r>
  <r>
    <n v="11"/>
    <s v="User5"/>
    <s v="Test5"/>
    <x v="1"/>
    <s v="Vadodara"/>
    <x v="1"/>
    <x v="1"/>
    <n v="191"/>
    <n v="6"/>
    <n v="0.88"/>
    <n v="1816.2"/>
    <x v="0"/>
  </r>
  <r>
    <n v="11"/>
    <s v="User5"/>
    <s v="Test5"/>
    <x v="1"/>
    <s v="Vadodara"/>
    <x v="1"/>
    <x v="2"/>
    <n v="369"/>
    <n v="6"/>
    <n v="0.89"/>
    <n v="3275.8"/>
    <x v="1"/>
  </r>
  <r>
    <n v="11"/>
    <s v="User5"/>
    <s v="Test5"/>
    <x v="1"/>
    <s v="Vadodara"/>
    <x v="1"/>
    <x v="3"/>
    <n v="306"/>
    <n v="8"/>
    <n v="0.85"/>
    <n v="2759.2"/>
    <x v="0"/>
  </r>
  <r>
    <n v="11"/>
    <s v="User5"/>
    <s v="Test5"/>
    <x v="1"/>
    <s v="Vadodara"/>
    <x v="1"/>
    <x v="4"/>
    <n v="241"/>
    <n v="10"/>
    <n v="0.89"/>
    <n v="2226.1999999999998"/>
    <x v="1"/>
  </r>
  <r>
    <n v="11"/>
    <s v="User5"/>
    <s v="Test5"/>
    <x v="1"/>
    <s v="Vadodara"/>
    <x v="1"/>
    <x v="5"/>
    <n v="153"/>
    <n v="9"/>
    <n v="0.89"/>
    <n v="1504.6"/>
    <x v="1"/>
  </r>
  <r>
    <n v="11"/>
    <s v="User5"/>
    <s v="Test5"/>
    <x v="1"/>
    <s v="Vadodara"/>
    <x v="1"/>
    <x v="6"/>
    <n v="164"/>
    <n v="8"/>
    <n v="0.98"/>
    <n v="1594.8"/>
    <x v="1"/>
  </r>
  <r>
    <n v="11"/>
    <s v="User5"/>
    <s v="Test5"/>
    <x v="1"/>
    <s v="Vadodara"/>
    <x v="1"/>
    <x v="7"/>
    <n v="397"/>
    <n v="7"/>
    <n v="0.99"/>
    <n v="3505.4"/>
    <x v="0"/>
  </r>
  <r>
    <n v="11"/>
    <s v="User5"/>
    <s v="Test5"/>
    <x v="1"/>
    <s v="Vadodara"/>
    <x v="1"/>
    <x v="8"/>
    <n v="156"/>
    <n v="6"/>
    <n v="0.86"/>
    <n v="1529.2"/>
    <x v="0"/>
  </r>
  <r>
    <n v="11"/>
    <s v="User5"/>
    <s v="Test5"/>
    <x v="1"/>
    <s v="Vadodara"/>
    <x v="1"/>
    <x v="9"/>
    <n v="389"/>
    <n v="7"/>
    <n v="0.98"/>
    <n v="3439.8"/>
    <x v="1"/>
  </r>
  <r>
    <n v="11"/>
    <s v="User5"/>
    <s v="Test5"/>
    <x v="1"/>
    <s v="Vadodara"/>
    <x v="1"/>
    <x v="10"/>
    <n v="326"/>
    <n v="7"/>
    <n v="0.99"/>
    <n v="2923.2"/>
    <x v="1"/>
  </r>
  <r>
    <n v="11"/>
    <s v="User5"/>
    <s v="Test5"/>
    <x v="1"/>
    <s v="Vadodara"/>
    <x v="1"/>
    <x v="11"/>
    <n v="179"/>
    <n v="9"/>
    <n v="0.88"/>
    <n v="1717.8"/>
    <x v="1"/>
  </r>
  <r>
    <n v="12"/>
    <s v="User6"/>
    <s v="Test6"/>
    <x v="2"/>
    <s v="Jaipur"/>
    <x v="3"/>
    <x v="0"/>
    <n v="224"/>
    <n v="8"/>
    <n v="0.86"/>
    <n v="2852"/>
    <x v="0"/>
  </r>
  <r>
    <n v="12"/>
    <s v="User6"/>
    <s v="Test6"/>
    <x v="2"/>
    <s v="Jaipur"/>
    <x v="3"/>
    <x v="1"/>
    <n v="258"/>
    <n v="9"/>
    <n v="0.89"/>
    <n v="3209"/>
    <x v="0"/>
  </r>
  <r>
    <n v="12"/>
    <s v="User6"/>
    <s v="Test6"/>
    <x v="2"/>
    <s v="Jaipur"/>
    <x v="3"/>
    <x v="2"/>
    <n v="386"/>
    <n v="5"/>
    <n v="0.92"/>
    <n v="4553"/>
    <x v="0"/>
  </r>
  <r>
    <n v="12"/>
    <s v="User6"/>
    <s v="Test6"/>
    <x v="2"/>
    <s v="Jaipur"/>
    <x v="3"/>
    <x v="3"/>
    <n v="367"/>
    <n v="10"/>
    <n v="0.85"/>
    <n v="4353.5"/>
    <x v="1"/>
  </r>
  <r>
    <n v="12"/>
    <s v="User6"/>
    <s v="Test6"/>
    <x v="2"/>
    <s v="Jaipur"/>
    <x v="3"/>
    <x v="4"/>
    <n v="157"/>
    <n v="6"/>
    <n v="0.97"/>
    <n v="2148.5"/>
    <x v="1"/>
  </r>
  <r>
    <n v="12"/>
    <s v="User6"/>
    <s v="Test6"/>
    <x v="2"/>
    <s v="Jaipur"/>
    <x v="3"/>
    <x v="5"/>
    <n v="164"/>
    <n v="3"/>
    <n v="0.98"/>
    <n v="2222"/>
    <x v="1"/>
  </r>
  <r>
    <n v="12"/>
    <s v="User6"/>
    <s v="Test6"/>
    <x v="2"/>
    <s v="Jaipur"/>
    <x v="3"/>
    <x v="6"/>
    <n v="188"/>
    <n v="5"/>
    <n v="0.87"/>
    <n v="2474"/>
    <x v="1"/>
  </r>
  <r>
    <n v="12"/>
    <s v="User6"/>
    <s v="Test6"/>
    <x v="2"/>
    <s v="Jaipur"/>
    <x v="3"/>
    <x v="7"/>
    <n v="387"/>
    <n v="10"/>
    <n v="0.86"/>
    <n v="4563.5"/>
    <x v="1"/>
  </r>
  <r>
    <n v="12"/>
    <s v="User6"/>
    <s v="Test6"/>
    <x v="2"/>
    <s v="Jaipur"/>
    <x v="3"/>
    <x v="8"/>
    <n v="380"/>
    <n v="6"/>
    <n v="0.87"/>
    <n v="4490"/>
    <x v="1"/>
  </r>
  <r>
    <n v="12"/>
    <s v="User6"/>
    <s v="Test6"/>
    <x v="2"/>
    <s v="Jaipur"/>
    <x v="3"/>
    <x v="9"/>
    <n v="312"/>
    <n v="4"/>
    <n v="0.93"/>
    <n v="3776"/>
    <x v="1"/>
  </r>
  <r>
    <n v="12"/>
    <s v="User6"/>
    <s v="Test6"/>
    <x v="2"/>
    <s v="Jaipur"/>
    <x v="3"/>
    <x v="10"/>
    <n v="396"/>
    <n v="6"/>
    <n v="0.98"/>
    <n v="4658"/>
    <x v="1"/>
  </r>
  <r>
    <n v="12"/>
    <s v="User6"/>
    <s v="Test6"/>
    <x v="2"/>
    <s v="Jaipur"/>
    <x v="3"/>
    <x v="11"/>
    <n v="301"/>
    <n v="10"/>
    <n v="0.92"/>
    <n v="3660.5"/>
    <x v="0"/>
  </r>
  <r>
    <n v="13"/>
    <s v="User7"/>
    <s v="Test7"/>
    <x v="3"/>
    <s v="Udaipur"/>
    <x v="3"/>
    <x v="0"/>
    <n v="180"/>
    <n v="5"/>
    <n v="0.88"/>
    <n v="939"/>
    <x v="1"/>
  </r>
  <r>
    <n v="13"/>
    <s v="User7"/>
    <s v="Test7"/>
    <x v="3"/>
    <s v="Udaipur"/>
    <x v="3"/>
    <x v="1"/>
    <n v="155"/>
    <n v="10"/>
    <n v="0.91"/>
    <n v="819"/>
    <x v="1"/>
  </r>
  <r>
    <n v="13"/>
    <s v="User7"/>
    <s v="Test7"/>
    <x v="3"/>
    <s v="Udaipur"/>
    <x v="3"/>
    <x v="2"/>
    <n v="168"/>
    <n v="10"/>
    <n v="0.99"/>
    <n v="881.4"/>
    <x v="0"/>
  </r>
  <r>
    <n v="13"/>
    <s v="User7"/>
    <s v="Test7"/>
    <x v="3"/>
    <s v="Udaipur"/>
    <x v="3"/>
    <x v="3"/>
    <n v="378"/>
    <n v="4"/>
    <n v="0.93"/>
    <n v="1889.4"/>
    <x v="1"/>
  </r>
  <r>
    <n v="13"/>
    <s v="User7"/>
    <s v="Test7"/>
    <x v="3"/>
    <s v="Udaipur"/>
    <x v="3"/>
    <x v="4"/>
    <n v="174"/>
    <n v="6"/>
    <n v="0.98"/>
    <n v="910.2"/>
    <x v="1"/>
  </r>
  <r>
    <n v="13"/>
    <s v="User7"/>
    <s v="Test7"/>
    <x v="3"/>
    <s v="Udaipur"/>
    <x v="3"/>
    <x v="5"/>
    <n v="347"/>
    <n v="5"/>
    <n v="0.86"/>
    <n v="1740.6"/>
    <x v="1"/>
  </r>
  <r>
    <n v="13"/>
    <s v="User7"/>
    <s v="Test7"/>
    <x v="3"/>
    <s v="Udaipur"/>
    <x v="3"/>
    <x v="6"/>
    <n v="307"/>
    <n v="3"/>
    <n v="0.97"/>
    <n v="1548.6"/>
    <x v="1"/>
  </r>
  <r>
    <n v="13"/>
    <s v="User7"/>
    <s v="Test7"/>
    <x v="3"/>
    <s v="Udaipur"/>
    <x v="3"/>
    <x v="7"/>
    <n v="247"/>
    <n v="6"/>
    <n v="0.98"/>
    <n v="1260.5999999999999"/>
    <x v="1"/>
  </r>
  <r>
    <n v="13"/>
    <s v="User7"/>
    <s v="Test7"/>
    <x v="3"/>
    <s v="Udaipur"/>
    <x v="3"/>
    <x v="8"/>
    <n v="173"/>
    <n v="8"/>
    <n v="0.96"/>
    <n v="905.4"/>
    <x v="1"/>
  </r>
  <r>
    <n v="13"/>
    <s v="User7"/>
    <s v="Test7"/>
    <x v="3"/>
    <s v="Udaipur"/>
    <x v="3"/>
    <x v="9"/>
    <n v="377"/>
    <n v="8"/>
    <n v="0.92"/>
    <n v="1884.6"/>
    <x v="1"/>
  </r>
  <r>
    <n v="13"/>
    <s v="User7"/>
    <s v="Test7"/>
    <x v="3"/>
    <s v="Udaipur"/>
    <x v="3"/>
    <x v="10"/>
    <n v="331"/>
    <n v="2"/>
    <n v="0.95"/>
    <n v="1663.8"/>
    <x v="1"/>
  </r>
  <r>
    <n v="13"/>
    <s v="User7"/>
    <s v="Test7"/>
    <x v="3"/>
    <s v="Udaipur"/>
    <x v="3"/>
    <x v="11"/>
    <n v="332"/>
    <n v="6"/>
    <n v="0.98"/>
    <n v="1668.6"/>
    <x v="1"/>
  </r>
  <r>
    <n v="14"/>
    <s v="User8"/>
    <s v="Test8"/>
    <x v="0"/>
    <s v="Jodhpur"/>
    <x v="3"/>
    <x v="0"/>
    <n v="354"/>
    <n v="8"/>
    <n v="0.99"/>
    <n v="2401"/>
    <x v="1"/>
  </r>
  <r>
    <n v="14"/>
    <s v="User8"/>
    <s v="Test8"/>
    <x v="0"/>
    <s v="Jodhpur"/>
    <x v="3"/>
    <x v="1"/>
    <n v="261"/>
    <n v="8"/>
    <n v="0.85"/>
    <n v="1796.5"/>
    <x v="1"/>
  </r>
  <r>
    <n v="14"/>
    <s v="User8"/>
    <s v="Test8"/>
    <x v="0"/>
    <s v="Jodhpur"/>
    <x v="3"/>
    <x v="2"/>
    <n v="390"/>
    <n v="2"/>
    <n v="0.9"/>
    <n v="2635"/>
    <x v="0"/>
  </r>
  <r>
    <n v="14"/>
    <s v="User8"/>
    <s v="Test8"/>
    <x v="0"/>
    <s v="Jodhpur"/>
    <x v="3"/>
    <x v="3"/>
    <n v="287"/>
    <n v="3"/>
    <n v="0.96"/>
    <n v="1965.5"/>
    <x v="1"/>
  </r>
  <r>
    <n v="14"/>
    <s v="User8"/>
    <s v="Test8"/>
    <x v="0"/>
    <s v="Jodhpur"/>
    <x v="3"/>
    <x v="4"/>
    <n v="238"/>
    <n v="5"/>
    <n v="0.99"/>
    <n v="1647"/>
    <x v="1"/>
  </r>
  <r>
    <n v="14"/>
    <s v="User8"/>
    <s v="Test8"/>
    <x v="0"/>
    <s v="Jodhpur"/>
    <x v="3"/>
    <x v="5"/>
    <n v="296"/>
    <n v="8"/>
    <n v="0.95"/>
    <n v="2024"/>
    <x v="1"/>
  </r>
  <r>
    <n v="14"/>
    <s v="User8"/>
    <s v="Test8"/>
    <x v="0"/>
    <s v="Jodhpur"/>
    <x v="3"/>
    <x v="6"/>
    <n v="360"/>
    <n v="9"/>
    <n v="0.87"/>
    <n v="2440"/>
    <x v="1"/>
  </r>
  <r>
    <n v="14"/>
    <s v="User8"/>
    <s v="Test8"/>
    <x v="0"/>
    <s v="Jodhpur"/>
    <x v="3"/>
    <x v="7"/>
    <n v="190"/>
    <n v="5"/>
    <n v="0.86"/>
    <n v="1335"/>
    <x v="0"/>
  </r>
  <r>
    <n v="14"/>
    <s v="User8"/>
    <s v="Test8"/>
    <x v="0"/>
    <s v="Jodhpur"/>
    <x v="3"/>
    <x v="8"/>
    <n v="151"/>
    <n v="8"/>
    <n v="0.95"/>
    <n v="1081.5"/>
    <x v="1"/>
  </r>
  <r>
    <n v="14"/>
    <s v="User8"/>
    <s v="Test8"/>
    <x v="0"/>
    <s v="Jodhpur"/>
    <x v="3"/>
    <x v="9"/>
    <n v="210"/>
    <n v="7"/>
    <n v="0.93"/>
    <n v="1465"/>
    <x v="1"/>
  </r>
  <r>
    <n v="14"/>
    <s v="User8"/>
    <s v="Test8"/>
    <x v="0"/>
    <s v="Jodhpur"/>
    <x v="3"/>
    <x v="10"/>
    <n v="248"/>
    <n v="3"/>
    <n v="0.88"/>
    <n v="1712"/>
    <x v="1"/>
  </r>
  <r>
    <n v="14"/>
    <s v="User8"/>
    <s v="Test8"/>
    <x v="0"/>
    <s v="Jodhpur"/>
    <x v="3"/>
    <x v="11"/>
    <n v="324"/>
    <n v="6"/>
    <n v="0.94"/>
    <n v="2206"/>
    <x v="1"/>
  </r>
  <r>
    <n v="15"/>
    <s v="User9"/>
    <s v="Test9"/>
    <x v="1"/>
    <s v="Bengaluru"/>
    <x v="2"/>
    <x v="0"/>
    <n v="357"/>
    <n v="8"/>
    <n v="0.85"/>
    <n v="3177.4"/>
    <x v="1"/>
  </r>
  <r>
    <n v="15"/>
    <s v="User9"/>
    <s v="Test9"/>
    <x v="1"/>
    <s v="Bengaluru"/>
    <x v="2"/>
    <x v="1"/>
    <n v="322"/>
    <n v="5"/>
    <n v="0.96"/>
    <n v="2890.4"/>
    <x v="1"/>
  </r>
  <r>
    <n v="15"/>
    <s v="User9"/>
    <s v="Test9"/>
    <x v="1"/>
    <s v="Bengaluru"/>
    <x v="2"/>
    <x v="2"/>
    <n v="270"/>
    <n v="10"/>
    <n v="0.98"/>
    <n v="2464"/>
    <x v="1"/>
  </r>
  <r>
    <n v="15"/>
    <s v="User9"/>
    <s v="Test9"/>
    <x v="1"/>
    <s v="Bengaluru"/>
    <x v="2"/>
    <x v="3"/>
    <n v="326"/>
    <n v="10"/>
    <n v="0.85"/>
    <n v="2923.2"/>
    <x v="1"/>
  </r>
  <r>
    <n v="15"/>
    <s v="User9"/>
    <s v="Test9"/>
    <x v="1"/>
    <s v="Bengaluru"/>
    <x v="2"/>
    <x v="4"/>
    <n v="351"/>
    <n v="10"/>
    <n v="0.9"/>
    <n v="3128.2"/>
    <x v="0"/>
  </r>
  <r>
    <n v="15"/>
    <s v="User9"/>
    <s v="Test9"/>
    <x v="1"/>
    <s v="Bengaluru"/>
    <x v="2"/>
    <x v="5"/>
    <n v="150"/>
    <n v="3"/>
    <n v="0.99"/>
    <n v="1480"/>
    <x v="1"/>
  </r>
  <r>
    <n v="15"/>
    <s v="User9"/>
    <s v="Test9"/>
    <x v="1"/>
    <s v="Bengaluru"/>
    <x v="2"/>
    <x v="6"/>
    <n v="185"/>
    <n v="6"/>
    <n v="0.94"/>
    <n v="1767"/>
    <x v="1"/>
  </r>
  <r>
    <n v="15"/>
    <s v="User9"/>
    <s v="Test9"/>
    <x v="1"/>
    <s v="Bengaluru"/>
    <x v="2"/>
    <x v="7"/>
    <n v="302"/>
    <n v="2"/>
    <n v="0.85"/>
    <n v="2726.4"/>
    <x v="1"/>
  </r>
  <r>
    <n v="15"/>
    <s v="User9"/>
    <s v="Test9"/>
    <x v="1"/>
    <s v="Bengaluru"/>
    <x v="2"/>
    <x v="8"/>
    <n v="347"/>
    <n v="9"/>
    <n v="0.98"/>
    <n v="3095.4"/>
    <x v="1"/>
  </r>
  <r>
    <n v="15"/>
    <s v="User9"/>
    <s v="Test9"/>
    <x v="1"/>
    <s v="Bengaluru"/>
    <x v="2"/>
    <x v="9"/>
    <n v="215"/>
    <n v="6"/>
    <n v="0.85"/>
    <n v="2013"/>
    <x v="1"/>
  </r>
  <r>
    <n v="15"/>
    <s v="User9"/>
    <s v="Test9"/>
    <x v="1"/>
    <s v="Bengaluru"/>
    <x v="2"/>
    <x v="10"/>
    <n v="338"/>
    <n v="8"/>
    <n v="0.94"/>
    <n v="3021.6"/>
    <x v="1"/>
  </r>
  <r>
    <n v="15"/>
    <s v="User9"/>
    <s v="Test9"/>
    <x v="1"/>
    <s v="Bengaluru"/>
    <x v="2"/>
    <x v="11"/>
    <n v="327"/>
    <n v="9"/>
    <n v="0.89"/>
    <n v="2931.4"/>
    <x v="1"/>
  </r>
  <r>
    <n v="16"/>
    <s v="User10"/>
    <s v="Test10"/>
    <x v="2"/>
    <s v="Mysuru"/>
    <x v="2"/>
    <x v="0"/>
    <n v="254"/>
    <n v="2"/>
    <n v="0.95"/>
    <n v="3167"/>
    <x v="1"/>
  </r>
  <r>
    <n v="16"/>
    <s v="User10"/>
    <s v="Test10"/>
    <x v="2"/>
    <s v="Mysuru"/>
    <x v="2"/>
    <x v="1"/>
    <n v="385"/>
    <n v="5"/>
    <n v="0.93"/>
    <n v="4542.5"/>
    <x v="1"/>
  </r>
  <r>
    <n v="16"/>
    <s v="User10"/>
    <s v="Test10"/>
    <x v="2"/>
    <s v="Mysuru"/>
    <x v="2"/>
    <x v="2"/>
    <n v="163"/>
    <n v="6"/>
    <n v="0.96"/>
    <n v="2211.5"/>
    <x v="1"/>
  </r>
  <r>
    <n v="16"/>
    <s v="User10"/>
    <s v="Test10"/>
    <x v="2"/>
    <s v="Mysuru"/>
    <x v="2"/>
    <x v="3"/>
    <n v="308"/>
    <n v="7"/>
    <n v="0.99"/>
    <n v="3734"/>
    <x v="1"/>
  </r>
  <r>
    <n v="16"/>
    <s v="User10"/>
    <s v="Test10"/>
    <x v="2"/>
    <s v="Mysuru"/>
    <x v="2"/>
    <x v="4"/>
    <n v="204"/>
    <n v="8"/>
    <n v="0.88"/>
    <n v="2642"/>
    <x v="1"/>
  </r>
  <r>
    <n v="16"/>
    <s v="User10"/>
    <s v="Test10"/>
    <x v="2"/>
    <s v="Mysuru"/>
    <x v="2"/>
    <x v="5"/>
    <n v="315"/>
    <n v="4"/>
    <n v="0.85"/>
    <n v="3807.5"/>
    <x v="0"/>
  </r>
  <r>
    <n v="16"/>
    <s v="User10"/>
    <s v="Test10"/>
    <x v="2"/>
    <s v="Mysuru"/>
    <x v="2"/>
    <x v="6"/>
    <n v="175"/>
    <n v="7"/>
    <n v="0.86"/>
    <n v="2337.5"/>
    <x v="1"/>
  </r>
  <r>
    <n v="16"/>
    <s v="User10"/>
    <s v="Test10"/>
    <x v="2"/>
    <s v="Mysuru"/>
    <x v="2"/>
    <x v="7"/>
    <n v="269"/>
    <n v="3"/>
    <n v="0.85"/>
    <n v="3324.5"/>
    <x v="1"/>
  </r>
  <r>
    <n v="16"/>
    <s v="User10"/>
    <s v="Test10"/>
    <x v="2"/>
    <s v="Mysuru"/>
    <x v="2"/>
    <x v="8"/>
    <n v="218"/>
    <n v="2"/>
    <n v="0.89"/>
    <n v="2789"/>
    <x v="1"/>
  </r>
  <r>
    <n v="16"/>
    <s v="User10"/>
    <s v="Test10"/>
    <x v="2"/>
    <s v="Mysuru"/>
    <x v="2"/>
    <x v="9"/>
    <n v="360"/>
    <n v="9"/>
    <n v="0.93"/>
    <n v="4280"/>
    <x v="1"/>
  </r>
  <r>
    <n v="16"/>
    <s v="User10"/>
    <s v="Test10"/>
    <x v="2"/>
    <s v="Mysuru"/>
    <x v="2"/>
    <x v="10"/>
    <n v="200"/>
    <n v="3"/>
    <n v="0.87"/>
    <n v="2600"/>
    <x v="1"/>
  </r>
  <r>
    <n v="16"/>
    <s v="User10"/>
    <s v="Test10"/>
    <x v="2"/>
    <s v="Mysuru"/>
    <x v="2"/>
    <x v="11"/>
    <n v="205"/>
    <n v="9"/>
    <n v="0.89"/>
    <n v="2652.5"/>
    <x v="0"/>
  </r>
  <r>
    <n v="17"/>
    <s v="User11"/>
    <s v="Test11"/>
    <x v="3"/>
    <s v="Chennai"/>
    <x v="4"/>
    <x v="0"/>
    <n v="181"/>
    <n v="9"/>
    <n v="0.92"/>
    <n v="943.8"/>
    <x v="1"/>
  </r>
  <r>
    <n v="17"/>
    <s v="User11"/>
    <s v="Test11"/>
    <x v="3"/>
    <s v="Chennai"/>
    <x v="4"/>
    <x v="1"/>
    <n v="253"/>
    <n v="7"/>
    <n v="0.94"/>
    <n v="1289.4000000000001"/>
    <x v="1"/>
  </r>
  <r>
    <n v="17"/>
    <s v="User11"/>
    <s v="Test11"/>
    <x v="3"/>
    <s v="Chennai"/>
    <x v="4"/>
    <x v="2"/>
    <n v="289"/>
    <n v="5"/>
    <n v="0.94"/>
    <n v="1462.2"/>
    <x v="1"/>
  </r>
  <r>
    <n v="17"/>
    <s v="User11"/>
    <s v="Test11"/>
    <x v="3"/>
    <s v="Chennai"/>
    <x v="4"/>
    <x v="3"/>
    <n v="260"/>
    <n v="9"/>
    <n v="0.89"/>
    <n v="1323"/>
    <x v="0"/>
  </r>
  <r>
    <n v="17"/>
    <s v="User11"/>
    <s v="Test11"/>
    <x v="3"/>
    <s v="Chennai"/>
    <x v="4"/>
    <x v="4"/>
    <n v="159"/>
    <n v="9"/>
    <n v="0.92"/>
    <n v="838.2"/>
    <x v="1"/>
  </r>
  <r>
    <n v="17"/>
    <s v="User11"/>
    <s v="Test11"/>
    <x v="3"/>
    <s v="Chennai"/>
    <x v="4"/>
    <x v="5"/>
    <n v="180"/>
    <n v="8"/>
    <n v="0.96"/>
    <n v="939"/>
    <x v="1"/>
  </r>
  <r>
    <n v="17"/>
    <s v="User11"/>
    <s v="Test11"/>
    <x v="3"/>
    <s v="Chennai"/>
    <x v="4"/>
    <x v="6"/>
    <n v="345"/>
    <n v="3"/>
    <n v="0.89"/>
    <n v="1731"/>
    <x v="1"/>
  </r>
  <r>
    <n v="17"/>
    <s v="User11"/>
    <s v="Test11"/>
    <x v="3"/>
    <s v="Chennai"/>
    <x v="4"/>
    <x v="7"/>
    <n v="228"/>
    <n v="6"/>
    <n v="0.97"/>
    <n v="1169.4000000000001"/>
    <x v="1"/>
  </r>
  <r>
    <n v="17"/>
    <s v="User11"/>
    <s v="Test11"/>
    <x v="3"/>
    <s v="Chennai"/>
    <x v="4"/>
    <x v="8"/>
    <n v="154"/>
    <n v="7"/>
    <n v="0.92"/>
    <n v="814.2"/>
    <x v="1"/>
  </r>
  <r>
    <n v="17"/>
    <s v="User11"/>
    <s v="Test11"/>
    <x v="3"/>
    <s v="Chennai"/>
    <x v="4"/>
    <x v="9"/>
    <n v="237"/>
    <n v="6"/>
    <n v="0.91"/>
    <n v="1212.5999999999999"/>
    <x v="1"/>
  </r>
  <r>
    <n v="17"/>
    <s v="User11"/>
    <s v="Test11"/>
    <x v="3"/>
    <s v="Chennai"/>
    <x v="4"/>
    <x v="10"/>
    <n v="156"/>
    <n v="10"/>
    <n v="0.9"/>
    <n v="823.8"/>
    <x v="1"/>
  </r>
  <r>
    <n v="17"/>
    <s v="User11"/>
    <s v="Test11"/>
    <x v="3"/>
    <s v="Chennai"/>
    <x v="4"/>
    <x v="11"/>
    <n v="304"/>
    <n v="7"/>
    <n v="0.89"/>
    <n v="1534.2"/>
    <x v="0"/>
  </r>
  <r>
    <n v="18"/>
    <s v="User12"/>
    <s v="Test12"/>
    <x v="0"/>
    <s v="Coimbatore"/>
    <x v="4"/>
    <x v="0"/>
    <n v="254"/>
    <n v="2"/>
    <n v="0.87"/>
    <n v="1751"/>
    <x v="1"/>
  </r>
  <r>
    <n v="18"/>
    <s v="User12"/>
    <s v="Test12"/>
    <x v="0"/>
    <s v="Coimbatore"/>
    <x v="4"/>
    <x v="1"/>
    <n v="218"/>
    <n v="9"/>
    <n v="0.9"/>
    <n v="1517"/>
    <x v="1"/>
  </r>
  <r>
    <n v="18"/>
    <s v="User12"/>
    <s v="Test12"/>
    <x v="0"/>
    <s v="Coimbatore"/>
    <x v="4"/>
    <x v="2"/>
    <n v="212"/>
    <n v="3"/>
    <n v="0.98"/>
    <n v="1478"/>
    <x v="0"/>
  </r>
  <r>
    <n v="18"/>
    <s v="User12"/>
    <s v="Test12"/>
    <x v="0"/>
    <s v="Coimbatore"/>
    <x v="4"/>
    <x v="3"/>
    <n v="205"/>
    <n v="9"/>
    <n v="0.85"/>
    <n v="1432.5"/>
    <x v="1"/>
  </r>
  <r>
    <n v="18"/>
    <s v="User12"/>
    <s v="Test12"/>
    <x v="0"/>
    <s v="Coimbatore"/>
    <x v="4"/>
    <x v="4"/>
    <n v="158"/>
    <n v="5"/>
    <n v="0.99"/>
    <n v="1127"/>
    <x v="1"/>
  </r>
  <r>
    <n v="18"/>
    <s v="User12"/>
    <s v="Test12"/>
    <x v="0"/>
    <s v="Coimbatore"/>
    <x v="4"/>
    <x v="5"/>
    <n v="273"/>
    <n v="9"/>
    <n v="0.91"/>
    <n v="1874.5"/>
    <x v="1"/>
  </r>
  <r>
    <n v="18"/>
    <s v="User12"/>
    <s v="Test12"/>
    <x v="0"/>
    <s v="Coimbatore"/>
    <x v="4"/>
    <x v="6"/>
    <n v="316"/>
    <n v="3"/>
    <n v="0.85"/>
    <n v="2154"/>
    <x v="0"/>
  </r>
  <r>
    <n v="18"/>
    <s v="User12"/>
    <s v="Test12"/>
    <x v="0"/>
    <s v="Coimbatore"/>
    <x v="4"/>
    <x v="7"/>
    <n v="293"/>
    <n v="3"/>
    <n v="0.93"/>
    <n v="2004.5"/>
    <x v="1"/>
  </r>
  <r>
    <n v="18"/>
    <s v="User12"/>
    <s v="Test12"/>
    <x v="0"/>
    <s v="Coimbatore"/>
    <x v="4"/>
    <x v="8"/>
    <n v="366"/>
    <n v="6"/>
    <n v="0.89"/>
    <n v="2479"/>
    <x v="1"/>
  </r>
  <r>
    <n v="18"/>
    <s v="User12"/>
    <s v="Test12"/>
    <x v="0"/>
    <s v="Coimbatore"/>
    <x v="4"/>
    <x v="9"/>
    <n v="341"/>
    <n v="6"/>
    <n v="0.95"/>
    <n v="2316.5"/>
    <x v="1"/>
  </r>
  <r>
    <n v="18"/>
    <s v="User12"/>
    <s v="Test12"/>
    <x v="0"/>
    <s v="Coimbatore"/>
    <x v="4"/>
    <x v="10"/>
    <n v="243"/>
    <n v="9"/>
    <n v="0.89"/>
    <n v="1679.5"/>
    <x v="1"/>
  </r>
  <r>
    <n v="18"/>
    <s v="User12"/>
    <s v="Test12"/>
    <x v="0"/>
    <s v="Coimbatore"/>
    <x v="4"/>
    <x v="11"/>
    <n v="233"/>
    <n v="7"/>
    <n v="0.96"/>
    <n v="1614.5"/>
    <x v="1"/>
  </r>
  <r>
    <n v="19"/>
    <s v="User13"/>
    <s v="Test13"/>
    <x v="1"/>
    <s v="New Delhi"/>
    <x v="5"/>
    <x v="0"/>
    <n v="171"/>
    <n v="3"/>
    <n v="0.88"/>
    <n v="1652.2"/>
    <x v="1"/>
  </r>
  <r>
    <n v="19"/>
    <s v="User13"/>
    <s v="Test13"/>
    <x v="1"/>
    <s v="New Delhi"/>
    <x v="5"/>
    <x v="1"/>
    <n v="376"/>
    <n v="6"/>
    <n v="0.96"/>
    <n v="3333.2"/>
    <x v="1"/>
  </r>
  <r>
    <n v="19"/>
    <s v="User13"/>
    <s v="Test13"/>
    <x v="1"/>
    <s v="New Delhi"/>
    <x v="5"/>
    <x v="2"/>
    <n v="253"/>
    <n v="6"/>
    <n v="0.98"/>
    <n v="2324.6"/>
    <x v="1"/>
  </r>
  <r>
    <n v="19"/>
    <s v="User13"/>
    <s v="Test13"/>
    <x v="1"/>
    <s v="New Delhi"/>
    <x v="5"/>
    <x v="3"/>
    <n v="389"/>
    <n v="7"/>
    <n v="0.98"/>
    <n v="3439.8"/>
    <x v="0"/>
  </r>
  <r>
    <n v="19"/>
    <s v="User13"/>
    <s v="Test13"/>
    <x v="1"/>
    <s v="New Delhi"/>
    <x v="5"/>
    <x v="4"/>
    <n v="277"/>
    <n v="2"/>
    <n v="0.95"/>
    <n v="2521.4"/>
    <x v="1"/>
  </r>
  <r>
    <n v="19"/>
    <s v="User13"/>
    <s v="Test13"/>
    <x v="1"/>
    <s v="New Delhi"/>
    <x v="5"/>
    <x v="5"/>
    <n v="363"/>
    <n v="9"/>
    <n v="0.97"/>
    <n v="3226.6"/>
    <x v="1"/>
  </r>
  <r>
    <n v="19"/>
    <s v="User13"/>
    <s v="Test13"/>
    <x v="1"/>
    <s v="New Delhi"/>
    <x v="5"/>
    <x v="6"/>
    <n v="342"/>
    <n v="4"/>
    <n v="0.95"/>
    <n v="3054.4"/>
    <x v="1"/>
  </r>
  <r>
    <n v="19"/>
    <s v="User13"/>
    <s v="Test13"/>
    <x v="1"/>
    <s v="New Delhi"/>
    <x v="5"/>
    <x v="7"/>
    <n v="204"/>
    <n v="4"/>
    <n v="0.89"/>
    <n v="1922.8"/>
    <x v="0"/>
  </r>
  <r>
    <n v="19"/>
    <s v="User13"/>
    <s v="Test13"/>
    <x v="1"/>
    <s v="New Delhi"/>
    <x v="5"/>
    <x v="8"/>
    <n v="285"/>
    <n v="3"/>
    <n v="0.87"/>
    <n v="2587"/>
    <x v="1"/>
  </r>
  <r>
    <n v="19"/>
    <s v="User13"/>
    <s v="Test13"/>
    <x v="1"/>
    <s v="New Delhi"/>
    <x v="5"/>
    <x v="9"/>
    <n v="311"/>
    <n v="3"/>
    <n v="0.92"/>
    <n v="2800.2"/>
    <x v="0"/>
  </r>
  <r>
    <n v="19"/>
    <s v="User13"/>
    <s v="Test13"/>
    <x v="1"/>
    <s v="New Delhi"/>
    <x v="5"/>
    <x v="10"/>
    <n v="310"/>
    <n v="6"/>
    <n v="0.91"/>
    <n v="2792"/>
    <x v="1"/>
  </r>
  <r>
    <n v="19"/>
    <s v="User13"/>
    <s v="Test13"/>
    <x v="1"/>
    <s v="New Delhi"/>
    <x v="5"/>
    <x v="11"/>
    <n v="228"/>
    <n v="4"/>
    <n v="0.97"/>
    <n v="2119.6"/>
    <x v="1"/>
  </r>
  <r>
    <n v="20"/>
    <s v="User14"/>
    <s v="Test14"/>
    <x v="2"/>
    <s v="Lucknow"/>
    <x v="6"/>
    <x v="0"/>
    <n v="323"/>
    <n v="6"/>
    <n v="0.93"/>
    <n v="3891.5"/>
    <x v="1"/>
  </r>
  <r>
    <n v="20"/>
    <s v="User14"/>
    <s v="Test14"/>
    <x v="2"/>
    <s v="Lucknow"/>
    <x v="6"/>
    <x v="1"/>
    <n v="377"/>
    <n v="8"/>
    <n v="0.93"/>
    <n v="4458.5"/>
    <x v="1"/>
  </r>
  <r>
    <n v="20"/>
    <s v="User14"/>
    <s v="Test14"/>
    <x v="2"/>
    <s v="Lucknow"/>
    <x v="6"/>
    <x v="2"/>
    <n v="208"/>
    <n v="8"/>
    <n v="0.98"/>
    <n v="2684"/>
    <x v="1"/>
  </r>
  <r>
    <n v="20"/>
    <s v="User14"/>
    <s v="Test14"/>
    <x v="2"/>
    <s v="Lucknow"/>
    <x v="6"/>
    <x v="3"/>
    <n v="370"/>
    <n v="3"/>
    <n v="0.95"/>
    <n v="4385"/>
    <x v="1"/>
  </r>
  <r>
    <n v="20"/>
    <s v="User14"/>
    <s v="Test14"/>
    <x v="2"/>
    <s v="Lucknow"/>
    <x v="6"/>
    <x v="4"/>
    <n v="226"/>
    <n v="3"/>
    <n v="0.9"/>
    <n v="2873"/>
    <x v="1"/>
  </r>
  <r>
    <n v="20"/>
    <s v="User14"/>
    <s v="Test14"/>
    <x v="2"/>
    <s v="Lucknow"/>
    <x v="6"/>
    <x v="5"/>
    <n v="319"/>
    <n v="7"/>
    <n v="0.94"/>
    <n v="3849.5"/>
    <x v="0"/>
  </r>
  <r>
    <n v="20"/>
    <s v="User14"/>
    <s v="Test14"/>
    <x v="2"/>
    <s v="Lucknow"/>
    <x v="6"/>
    <x v="6"/>
    <n v="257"/>
    <n v="5"/>
    <n v="0.9"/>
    <n v="3198.5"/>
    <x v="1"/>
  </r>
  <r>
    <n v="20"/>
    <s v="User14"/>
    <s v="Test14"/>
    <x v="2"/>
    <s v="Lucknow"/>
    <x v="6"/>
    <x v="7"/>
    <n v="356"/>
    <n v="4"/>
    <n v="0.91"/>
    <n v="4238"/>
    <x v="1"/>
  </r>
  <r>
    <n v="20"/>
    <s v="User14"/>
    <s v="Test14"/>
    <x v="2"/>
    <s v="Lucknow"/>
    <x v="6"/>
    <x v="8"/>
    <n v="384"/>
    <n v="3"/>
    <n v="0.88"/>
    <n v="4532"/>
    <x v="0"/>
  </r>
  <r>
    <n v="20"/>
    <s v="User14"/>
    <s v="Test14"/>
    <x v="2"/>
    <s v="Lucknow"/>
    <x v="6"/>
    <x v="9"/>
    <n v="313"/>
    <n v="10"/>
    <n v="0.93"/>
    <n v="3786.5"/>
    <x v="1"/>
  </r>
  <r>
    <n v="20"/>
    <s v="User14"/>
    <s v="Test14"/>
    <x v="2"/>
    <s v="Lucknow"/>
    <x v="6"/>
    <x v="10"/>
    <n v="273"/>
    <n v="8"/>
    <n v="0.98"/>
    <n v="3366.5"/>
    <x v="1"/>
  </r>
  <r>
    <n v="20"/>
    <s v="User14"/>
    <s v="Test14"/>
    <x v="2"/>
    <s v="Lucknow"/>
    <x v="6"/>
    <x v="11"/>
    <n v="353"/>
    <n v="4"/>
    <n v="0.99"/>
    <n v="4206.5"/>
    <x v="1"/>
  </r>
  <r>
    <n v="21"/>
    <s v="User15"/>
    <s v="Test15"/>
    <x v="3"/>
    <s v="Mumbai"/>
    <x v="0"/>
    <x v="0"/>
    <n v="239"/>
    <n v="4"/>
    <n v="0.98"/>
    <n v="1222.2"/>
    <x v="1"/>
  </r>
  <r>
    <n v="21"/>
    <s v="User15"/>
    <s v="Test15"/>
    <x v="3"/>
    <s v="Mumbai"/>
    <x v="0"/>
    <x v="1"/>
    <n v="365"/>
    <n v="2"/>
    <n v="0.89"/>
    <n v="1827"/>
    <x v="0"/>
  </r>
  <r>
    <n v="21"/>
    <s v="User15"/>
    <s v="Test15"/>
    <x v="3"/>
    <s v="Mumbai"/>
    <x v="0"/>
    <x v="2"/>
    <n v="324"/>
    <n v="4"/>
    <n v="0.96"/>
    <n v="1630.2"/>
    <x v="1"/>
  </r>
  <r>
    <n v="21"/>
    <s v="User15"/>
    <s v="Test15"/>
    <x v="3"/>
    <s v="Mumbai"/>
    <x v="0"/>
    <x v="3"/>
    <n v="335"/>
    <n v="7"/>
    <n v="0.97"/>
    <n v="1683"/>
    <x v="1"/>
  </r>
  <r>
    <n v="21"/>
    <s v="User15"/>
    <s v="Test15"/>
    <x v="3"/>
    <s v="Mumbai"/>
    <x v="0"/>
    <x v="4"/>
    <n v="310"/>
    <n v="3"/>
    <n v="0.99"/>
    <n v="1563"/>
    <x v="0"/>
  </r>
  <r>
    <n v="21"/>
    <s v="User15"/>
    <s v="Test15"/>
    <x v="3"/>
    <s v="Mumbai"/>
    <x v="0"/>
    <x v="5"/>
    <n v="296"/>
    <n v="5"/>
    <n v="0.87"/>
    <n v="1495.8"/>
    <x v="1"/>
  </r>
  <r>
    <n v="21"/>
    <s v="User15"/>
    <s v="Test15"/>
    <x v="3"/>
    <s v="Mumbai"/>
    <x v="0"/>
    <x v="6"/>
    <n v="388"/>
    <n v="5"/>
    <n v="0.91"/>
    <n v="1937.4"/>
    <x v="1"/>
  </r>
  <r>
    <n v="21"/>
    <s v="User15"/>
    <s v="Test15"/>
    <x v="3"/>
    <s v="Mumbai"/>
    <x v="0"/>
    <x v="7"/>
    <n v="380"/>
    <n v="5"/>
    <n v="0.88"/>
    <n v="1899"/>
    <x v="1"/>
  </r>
  <r>
    <n v="21"/>
    <s v="User15"/>
    <s v="Test15"/>
    <x v="3"/>
    <s v="Mumbai"/>
    <x v="0"/>
    <x v="8"/>
    <n v="182"/>
    <n v="7"/>
    <n v="0.92"/>
    <n v="948.6"/>
    <x v="1"/>
  </r>
  <r>
    <n v="21"/>
    <s v="User15"/>
    <s v="Test15"/>
    <x v="3"/>
    <s v="Mumbai"/>
    <x v="0"/>
    <x v="9"/>
    <n v="189"/>
    <n v="8"/>
    <n v="0.99"/>
    <n v="982.2"/>
    <x v="1"/>
  </r>
  <r>
    <n v="21"/>
    <s v="User15"/>
    <s v="Test15"/>
    <x v="3"/>
    <s v="Mumbai"/>
    <x v="0"/>
    <x v="10"/>
    <n v="346"/>
    <n v="6"/>
    <n v="0.87"/>
    <n v="1735.8"/>
    <x v="1"/>
  </r>
  <r>
    <n v="21"/>
    <s v="User15"/>
    <s v="Test15"/>
    <x v="3"/>
    <s v="Mumbai"/>
    <x v="0"/>
    <x v="11"/>
    <n v="242"/>
    <n v="6"/>
    <n v="0.97"/>
    <n v="1236.5999999999999"/>
    <x v="1"/>
  </r>
  <r>
    <n v="22"/>
    <s v="User16"/>
    <s v="Test16"/>
    <x v="0"/>
    <s v="Pune"/>
    <x v="0"/>
    <x v="0"/>
    <n v="356"/>
    <n v="6"/>
    <n v="0.91"/>
    <n v="2414"/>
    <x v="1"/>
  </r>
  <r>
    <n v="22"/>
    <s v="User16"/>
    <s v="Test16"/>
    <x v="0"/>
    <s v="Pune"/>
    <x v="0"/>
    <x v="1"/>
    <n v="244"/>
    <n v="5"/>
    <n v="0.88"/>
    <n v="1686"/>
    <x v="1"/>
  </r>
  <r>
    <n v="22"/>
    <s v="User16"/>
    <s v="Test16"/>
    <x v="0"/>
    <s v="Pune"/>
    <x v="0"/>
    <x v="2"/>
    <n v="396"/>
    <n v="6"/>
    <n v="0.96"/>
    <n v="2674"/>
    <x v="1"/>
  </r>
  <r>
    <n v="22"/>
    <s v="User16"/>
    <s v="Test16"/>
    <x v="0"/>
    <s v="Pune"/>
    <x v="0"/>
    <x v="3"/>
    <n v="289"/>
    <n v="10"/>
    <n v="0.95"/>
    <n v="1978.5"/>
    <x v="1"/>
  </r>
  <r>
    <n v="22"/>
    <s v="User16"/>
    <s v="Test16"/>
    <x v="0"/>
    <s v="Pune"/>
    <x v="0"/>
    <x v="4"/>
    <n v="322"/>
    <n v="5"/>
    <n v="0.93"/>
    <n v="2193"/>
    <x v="1"/>
  </r>
  <r>
    <n v="22"/>
    <s v="User16"/>
    <s v="Test16"/>
    <x v="0"/>
    <s v="Pune"/>
    <x v="0"/>
    <x v="5"/>
    <n v="280"/>
    <n v="10"/>
    <n v="0.85"/>
    <n v="1920"/>
    <x v="1"/>
  </r>
  <r>
    <n v="22"/>
    <s v="User16"/>
    <s v="Test16"/>
    <x v="0"/>
    <s v="Pune"/>
    <x v="0"/>
    <x v="6"/>
    <n v="181"/>
    <n v="6"/>
    <n v="0.91"/>
    <n v="1276.5"/>
    <x v="1"/>
  </r>
  <r>
    <n v="22"/>
    <s v="User16"/>
    <s v="Test16"/>
    <x v="0"/>
    <s v="Pune"/>
    <x v="0"/>
    <x v="7"/>
    <n v="240"/>
    <n v="10"/>
    <n v="0.98"/>
    <n v="1660"/>
    <x v="1"/>
  </r>
  <r>
    <n v="22"/>
    <s v="User16"/>
    <s v="Test16"/>
    <x v="0"/>
    <s v="Pune"/>
    <x v="0"/>
    <x v="8"/>
    <n v="377"/>
    <n v="2"/>
    <n v="0.98"/>
    <n v="2550.5"/>
    <x v="1"/>
  </r>
  <r>
    <n v="22"/>
    <s v="User16"/>
    <s v="Test16"/>
    <x v="0"/>
    <s v="Pune"/>
    <x v="0"/>
    <x v="9"/>
    <n v="154"/>
    <n v="5"/>
    <n v="0.95"/>
    <n v="1101"/>
    <x v="1"/>
  </r>
  <r>
    <n v="22"/>
    <s v="User16"/>
    <s v="Test16"/>
    <x v="0"/>
    <s v="Pune"/>
    <x v="0"/>
    <x v="10"/>
    <n v="338"/>
    <n v="8"/>
    <n v="0.93"/>
    <n v="2297"/>
    <x v="0"/>
  </r>
  <r>
    <n v="22"/>
    <s v="User16"/>
    <s v="Test16"/>
    <x v="0"/>
    <s v="Pune"/>
    <x v="0"/>
    <x v="11"/>
    <n v="176"/>
    <n v="2"/>
    <n v="0.94"/>
    <n v="1244"/>
    <x v="1"/>
  </r>
  <r>
    <n v="23"/>
    <s v="User17"/>
    <s v="Test17"/>
    <x v="1"/>
    <s v="Nagpur"/>
    <x v="0"/>
    <x v="0"/>
    <n v="266"/>
    <n v="3"/>
    <n v="0.87"/>
    <n v="2431.1999999999998"/>
    <x v="1"/>
  </r>
  <r>
    <n v="23"/>
    <s v="User17"/>
    <s v="Test17"/>
    <x v="1"/>
    <s v="Nagpur"/>
    <x v="0"/>
    <x v="1"/>
    <n v="257"/>
    <n v="4"/>
    <n v="0.9"/>
    <n v="2357.4"/>
    <x v="1"/>
  </r>
  <r>
    <n v="23"/>
    <s v="User17"/>
    <s v="Test17"/>
    <x v="1"/>
    <s v="Nagpur"/>
    <x v="0"/>
    <x v="2"/>
    <n v="262"/>
    <n v="10"/>
    <n v="0.89"/>
    <n v="2398.4"/>
    <x v="1"/>
  </r>
  <r>
    <n v="23"/>
    <s v="User17"/>
    <s v="Test17"/>
    <x v="1"/>
    <s v="Nagpur"/>
    <x v="0"/>
    <x v="3"/>
    <n v="167"/>
    <n v="2"/>
    <n v="0.91"/>
    <n v="1619.4"/>
    <x v="1"/>
  </r>
  <r>
    <n v="23"/>
    <s v="User17"/>
    <s v="Test17"/>
    <x v="1"/>
    <s v="Nagpur"/>
    <x v="0"/>
    <x v="4"/>
    <n v="217"/>
    <n v="9"/>
    <n v="0.92"/>
    <n v="2029.4"/>
    <x v="1"/>
  </r>
  <r>
    <n v="23"/>
    <s v="User17"/>
    <s v="Test17"/>
    <x v="1"/>
    <s v="Nagpur"/>
    <x v="0"/>
    <x v="5"/>
    <n v="280"/>
    <n v="10"/>
    <n v="0.93"/>
    <n v="2546"/>
    <x v="0"/>
  </r>
  <r>
    <n v="23"/>
    <s v="User17"/>
    <s v="Test17"/>
    <x v="1"/>
    <s v="Nagpur"/>
    <x v="0"/>
    <x v="6"/>
    <n v="326"/>
    <n v="2"/>
    <n v="0.94"/>
    <n v="2923.2"/>
    <x v="0"/>
  </r>
  <r>
    <n v="23"/>
    <s v="User17"/>
    <s v="Test17"/>
    <x v="1"/>
    <s v="Nagpur"/>
    <x v="0"/>
    <x v="7"/>
    <n v="223"/>
    <n v="6"/>
    <n v="0.99"/>
    <n v="2078.6"/>
    <x v="0"/>
  </r>
  <r>
    <n v="23"/>
    <s v="User17"/>
    <s v="Test17"/>
    <x v="1"/>
    <s v="Nagpur"/>
    <x v="0"/>
    <x v="8"/>
    <n v="273"/>
    <n v="5"/>
    <n v="0.86"/>
    <n v="2488.6"/>
    <x v="0"/>
  </r>
  <r>
    <n v="23"/>
    <s v="User17"/>
    <s v="Test17"/>
    <x v="1"/>
    <s v="Nagpur"/>
    <x v="0"/>
    <x v="9"/>
    <n v="393"/>
    <n v="2"/>
    <n v="0.93"/>
    <n v="3472.6"/>
    <x v="1"/>
  </r>
  <r>
    <n v="23"/>
    <s v="User17"/>
    <s v="Test17"/>
    <x v="1"/>
    <s v="Nagpur"/>
    <x v="0"/>
    <x v="10"/>
    <n v="214"/>
    <n v="8"/>
    <n v="0.91"/>
    <n v="2004.8"/>
    <x v="1"/>
  </r>
  <r>
    <n v="23"/>
    <s v="User17"/>
    <s v="Test17"/>
    <x v="1"/>
    <s v="Nagpur"/>
    <x v="0"/>
    <x v="11"/>
    <n v="305"/>
    <n v="6"/>
    <n v="0.91"/>
    <n v="2751"/>
    <x v="1"/>
  </r>
  <r>
    <n v="24"/>
    <s v="User18"/>
    <s v="Test18"/>
    <x v="2"/>
    <s v="Ahmedabad"/>
    <x v="1"/>
    <x v="0"/>
    <n v="161"/>
    <n v="2"/>
    <n v="0.88"/>
    <n v="2190.5"/>
    <x v="1"/>
  </r>
  <r>
    <n v="24"/>
    <s v="User18"/>
    <s v="Test18"/>
    <x v="2"/>
    <s v="Ahmedabad"/>
    <x v="1"/>
    <x v="1"/>
    <n v="356"/>
    <n v="2"/>
    <n v="0.92"/>
    <n v="4238"/>
    <x v="1"/>
  </r>
  <r>
    <n v="24"/>
    <s v="User18"/>
    <s v="Test18"/>
    <x v="2"/>
    <s v="Ahmedabad"/>
    <x v="1"/>
    <x v="2"/>
    <n v="340"/>
    <n v="4"/>
    <n v="0.99"/>
    <n v="4070"/>
    <x v="1"/>
  </r>
  <r>
    <n v="24"/>
    <s v="User18"/>
    <s v="Test18"/>
    <x v="2"/>
    <s v="Ahmedabad"/>
    <x v="1"/>
    <x v="3"/>
    <n v="369"/>
    <n v="8"/>
    <n v="0.94"/>
    <n v="4374.5"/>
    <x v="1"/>
  </r>
  <r>
    <n v="24"/>
    <s v="User18"/>
    <s v="Test18"/>
    <x v="2"/>
    <s v="Ahmedabad"/>
    <x v="1"/>
    <x v="4"/>
    <n v="258"/>
    <n v="3"/>
    <n v="0.89"/>
    <n v="3209"/>
    <x v="0"/>
  </r>
  <r>
    <n v="24"/>
    <s v="User18"/>
    <s v="Test18"/>
    <x v="2"/>
    <s v="Ahmedabad"/>
    <x v="1"/>
    <x v="5"/>
    <n v="265"/>
    <n v="10"/>
    <n v="0.87"/>
    <n v="3282.5"/>
    <x v="1"/>
  </r>
  <r>
    <n v="24"/>
    <s v="User18"/>
    <s v="Test18"/>
    <x v="2"/>
    <s v="Ahmedabad"/>
    <x v="1"/>
    <x v="6"/>
    <n v="235"/>
    <n v="8"/>
    <n v="0.86"/>
    <n v="2967.5"/>
    <x v="1"/>
  </r>
  <r>
    <n v="24"/>
    <s v="User18"/>
    <s v="Test18"/>
    <x v="2"/>
    <s v="Ahmedabad"/>
    <x v="1"/>
    <x v="7"/>
    <n v="393"/>
    <n v="7"/>
    <n v="0.88"/>
    <n v="4626.5"/>
    <x v="1"/>
  </r>
  <r>
    <n v="24"/>
    <s v="User18"/>
    <s v="Test18"/>
    <x v="2"/>
    <s v="Ahmedabad"/>
    <x v="1"/>
    <x v="8"/>
    <n v="264"/>
    <n v="4"/>
    <n v="0.92"/>
    <n v="3272"/>
    <x v="1"/>
  </r>
  <r>
    <n v="24"/>
    <s v="User18"/>
    <s v="Test18"/>
    <x v="2"/>
    <s v="Ahmedabad"/>
    <x v="1"/>
    <x v="9"/>
    <n v="364"/>
    <n v="10"/>
    <n v="0.86"/>
    <n v="4322"/>
    <x v="1"/>
  </r>
  <r>
    <n v="24"/>
    <s v="User18"/>
    <s v="Test18"/>
    <x v="2"/>
    <s v="Ahmedabad"/>
    <x v="1"/>
    <x v="10"/>
    <n v="378"/>
    <n v="4"/>
    <n v="0.89"/>
    <n v="4469"/>
    <x v="1"/>
  </r>
  <r>
    <n v="24"/>
    <s v="User18"/>
    <s v="Test18"/>
    <x v="2"/>
    <s v="Ahmedabad"/>
    <x v="1"/>
    <x v="11"/>
    <n v="327"/>
    <n v="6"/>
    <n v="0.96"/>
    <n v="3933.5"/>
    <x v="1"/>
  </r>
  <r>
    <n v="25"/>
    <s v="User19"/>
    <s v="Test19"/>
    <x v="3"/>
    <s v="Surat"/>
    <x v="1"/>
    <x v="0"/>
    <n v="215"/>
    <n v="8"/>
    <n v="0.9"/>
    <n v="1107"/>
    <x v="1"/>
  </r>
  <r>
    <n v="25"/>
    <s v="User19"/>
    <s v="Test19"/>
    <x v="3"/>
    <s v="Surat"/>
    <x v="1"/>
    <x v="1"/>
    <n v="176"/>
    <n v="6"/>
    <n v="0.86"/>
    <n v="919.8"/>
    <x v="1"/>
  </r>
  <r>
    <n v="25"/>
    <s v="User19"/>
    <s v="Test19"/>
    <x v="3"/>
    <s v="Surat"/>
    <x v="1"/>
    <x v="2"/>
    <n v="232"/>
    <n v="4"/>
    <n v="0.96"/>
    <n v="1188.5999999999999"/>
    <x v="0"/>
  </r>
  <r>
    <n v="25"/>
    <s v="User19"/>
    <s v="Test19"/>
    <x v="3"/>
    <s v="Surat"/>
    <x v="1"/>
    <x v="3"/>
    <n v="317"/>
    <n v="9"/>
    <n v="0.85"/>
    <n v="1596.6"/>
    <x v="1"/>
  </r>
  <r>
    <n v="25"/>
    <s v="User19"/>
    <s v="Test19"/>
    <x v="3"/>
    <s v="Surat"/>
    <x v="1"/>
    <x v="4"/>
    <n v="163"/>
    <n v="4"/>
    <n v="0.89"/>
    <n v="857.4"/>
    <x v="1"/>
  </r>
  <r>
    <n v="25"/>
    <s v="User19"/>
    <s v="Test19"/>
    <x v="3"/>
    <s v="Surat"/>
    <x v="1"/>
    <x v="5"/>
    <n v="222"/>
    <n v="2"/>
    <n v="0.89"/>
    <n v="1140.5999999999999"/>
    <x v="1"/>
  </r>
  <r>
    <n v="25"/>
    <s v="User19"/>
    <s v="Test19"/>
    <x v="3"/>
    <s v="Surat"/>
    <x v="1"/>
    <x v="6"/>
    <n v="241"/>
    <n v="9"/>
    <n v="0.92"/>
    <n v="1231.8"/>
    <x v="1"/>
  </r>
  <r>
    <n v="25"/>
    <s v="User19"/>
    <s v="Test19"/>
    <x v="3"/>
    <s v="Surat"/>
    <x v="1"/>
    <x v="7"/>
    <n v="318"/>
    <n v="9"/>
    <n v="0.88"/>
    <n v="1601.4"/>
    <x v="1"/>
  </r>
  <r>
    <n v="25"/>
    <s v="User19"/>
    <s v="Test19"/>
    <x v="3"/>
    <s v="Surat"/>
    <x v="1"/>
    <x v="8"/>
    <n v="175"/>
    <n v="2"/>
    <n v="0.99"/>
    <n v="915"/>
    <x v="1"/>
  </r>
  <r>
    <n v="25"/>
    <s v="User19"/>
    <s v="Test19"/>
    <x v="3"/>
    <s v="Surat"/>
    <x v="1"/>
    <x v="9"/>
    <n v="308"/>
    <n v="10"/>
    <n v="0.9"/>
    <n v="1553.4"/>
    <x v="1"/>
  </r>
  <r>
    <n v="25"/>
    <s v="User19"/>
    <s v="Test19"/>
    <x v="3"/>
    <s v="Surat"/>
    <x v="1"/>
    <x v="10"/>
    <n v="306"/>
    <n v="6"/>
    <n v="0.94"/>
    <n v="1543.8"/>
    <x v="1"/>
  </r>
  <r>
    <n v="25"/>
    <s v="User19"/>
    <s v="Test19"/>
    <x v="3"/>
    <s v="Surat"/>
    <x v="1"/>
    <x v="11"/>
    <n v="249"/>
    <n v="8"/>
    <n v="0.94"/>
    <n v="1270.2"/>
    <x v="0"/>
  </r>
  <r>
    <n v="26"/>
    <s v="User20"/>
    <s v="Test20"/>
    <x v="0"/>
    <s v="Vadodara"/>
    <x v="1"/>
    <x v="0"/>
    <n v="187"/>
    <n v="8"/>
    <n v="0.99"/>
    <n v="1315.5"/>
    <x v="1"/>
  </r>
  <r>
    <n v="26"/>
    <s v="User20"/>
    <s v="Test20"/>
    <x v="0"/>
    <s v="Vadodara"/>
    <x v="1"/>
    <x v="1"/>
    <n v="378"/>
    <n v="10"/>
    <n v="0.88"/>
    <n v="2557"/>
    <x v="1"/>
  </r>
  <r>
    <n v="26"/>
    <s v="User20"/>
    <s v="Test20"/>
    <x v="0"/>
    <s v="Vadodara"/>
    <x v="1"/>
    <x v="2"/>
    <n v="332"/>
    <n v="6"/>
    <n v="0.9"/>
    <n v="2258"/>
    <x v="1"/>
  </r>
  <r>
    <n v="26"/>
    <s v="User20"/>
    <s v="Test20"/>
    <x v="0"/>
    <s v="Vadodara"/>
    <x v="1"/>
    <x v="3"/>
    <n v="383"/>
    <n v="8"/>
    <n v="0.97"/>
    <n v="2589.5"/>
    <x v="1"/>
  </r>
  <r>
    <n v="26"/>
    <s v="User20"/>
    <s v="Test20"/>
    <x v="0"/>
    <s v="Vadodara"/>
    <x v="1"/>
    <x v="4"/>
    <n v="253"/>
    <n v="2"/>
    <n v="0.97"/>
    <n v="1744.5"/>
    <x v="0"/>
  </r>
  <r>
    <n v="26"/>
    <s v="User20"/>
    <s v="Test20"/>
    <x v="0"/>
    <s v="Vadodara"/>
    <x v="1"/>
    <x v="5"/>
    <n v="329"/>
    <n v="5"/>
    <n v="0.89"/>
    <n v="2238.5"/>
    <x v="1"/>
  </r>
  <r>
    <n v="26"/>
    <s v="User20"/>
    <s v="Test20"/>
    <x v="0"/>
    <s v="Vadodara"/>
    <x v="1"/>
    <x v="6"/>
    <n v="296"/>
    <n v="10"/>
    <n v="0.88"/>
    <n v="2024"/>
    <x v="1"/>
  </r>
  <r>
    <n v="26"/>
    <s v="User20"/>
    <s v="Test20"/>
    <x v="0"/>
    <s v="Vadodara"/>
    <x v="1"/>
    <x v="7"/>
    <n v="167"/>
    <n v="3"/>
    <n v="0.87"/>
    <n v="1185.5"/>
    <x v="0"/>
  </r>
  <r>
    <n v="26"/>
    <s v="User20"/>
    <s v="Test20"/>
    <x v="0"/>
    <s v="Vadodara"/>
    <x v="1"/>
    <x v="8"/>
    <n v="351"/>
    <n v="7"/>
    <n v="0.85"/>
    <n v="2381.5"/>
    <x v="1"/>
  </r>
  <r>
    <n v="26"/>
    <s v="User20"/>
    <s v="Test20"/>
    <x v="0"/>
    <s v="Vadodara"/>
    <x v="1"/>
    <x v="9"/>
    <n v="328"/>
    <n v="4"/>
    <n v="0.85"/>
    <n v="2232"/>
    <x v="0"/>
  </r>
  <r>
    <n v="26"/>
    <s v="User20"/>
    <s v="Test20"/>
    <x v="0"/>
    <s v="Vadodara"/>
    <x v="1"/>
    <x v="10"/>
    <n v="361"/>
    <n v="10"/>
    <n v="0.96"/>
    <n v="2446.5"/>
    <x v="1"/>
  </r>
  <r>
    <n v="26"/>
    <s v="User20"/>
    <s v="Test20"/>
    <x v="0"/>
    <s v="Vadodara"/>
    <x v="1"/>
    <x v="11"/>
    <n v="203"/>
    <n v="4"/>
    <n v="0.9"/>
    <n v="1419.5"/>
    <x v="1"/>
  </r>
  <r>
    <n v="27"/>
    <s v="User21"/>
    <s v="Test21"/>
    <x v="1"/>
    <s v="Jaipur"/>
    <x v="3"/>
    <x v="0"/>
    <n v="319"/>
    <n v="9"/>
    <n v="0.95"/>
    <n v="2865.8"/>
    <x v="1"/>
  </r>
  <r>
    <n v="27"/>
    <s v="User21"/>
    <s v="Test21"/>
    <x v="1"/>
    <s v="Jaipur"/>
    <x v="3"/>
    <x v="1"/>
    <n v="186"/>
    <n v="10"/>
    <n v="0.86"/>
    <n v="1775.2"/>
    <x v="1"/>
  </r>
  <r>
    <n v="27"/>
    <s v="User21"/>
    <s v="Test21"/>
    <x v="1"/>
    <s v="Jaipur"/>
    <x v="3"/>
    <x v="2"/>
    <n v="274"/>
    <n v="7"/>
    <n v="0.86"/>
    <n v="2496.8000000000002"/>
    <x v="1"/>
  </r>
  <r>
    <n v="27"/>
    <s v="User21"/>
    <s v="Test21"/>
    <x v="1"/>
    <s v="Jaipur"/>
    <x v="3"/>
    <x v="3"/>
    <n v="187"/>
    <n v="4"/>
    <n v="0.89"/>
    <n v="1783.4"/>
    <x v="0"/>
  </r>
  <r>
    <n v="27"/>
    <s v="User21"/>
    <s v="Test21"/>
    <x v="1"/>
    <s v="Jaipur"/>
    <x v="3"/>
    <x v="4"/>
    <n v="173"/>
    <n v="8"/>
    <n v="0.86"/>
    <n v="1668.6"/>
    <x v="1"/>
  </r>
  <r>
    <n v="27"/>
    <s v="User21"/>
    <s v="Test21"/>
    <x v="1"/>
    <s v="Jaipur"/>
    <x v="3"/>
    <x v="5"/>
    <n v="258"/>
    <n v="7"/>
    <n v="0.88"/>
    <n v="2365.6"/>
    <x v="1"/>
  </r>
  <r>
    <n v="27"/>
    <s v="User21"/>
    <s v="Test21"/>
    <x v="1"/>
    <s v="Jaipur"/>
    <x v="3"/>
    <x v="6"/>
    <n v="246"/>
    <n v="2"/>
    <n v="0.93"/>
    <n v="2267.1999999999998"/>
    <x v="1"/>
  </r>
  <r>
    <n v="27"/>
    <s v="User21"/>
    <s v="Test21"/>
    <x v="1"/>
    <s v="Jaipur"/>
    <x v="3"/>
    <x v="7"/>
    <n v="300"/>
    <n v="6"/>
    <n v="0.93"/>
    <n v="2710"/>
    <x v="1"/>
  </r>
  <r>
    <n v="27"/>
    <s v="User21"/>
    <s v="Test21"/>
    <x v="1"/>
    <s v="Jaipur"/>
    <x v="3"/>
    <x v="8"/>
    <n v="237"/>
    <n v="10"/>
    <n v="0.87"/>
    <n v="2193.4"/>
    <x v="0"/>
  </r>
  <r>
    <n v="27"/>
    <s v="User21"/>
    <s v="Test21"/>
    <x v="1"/>
    <s v="Jaipur"/>
    <x v="3"/>
    <x v="9"/>
    <n v="205"/>
    <n v="2"/>
    <n v="0.94"/>
    <n v="1931"/>
    <x v="1"/>
  </r>
  <r>
    <n v="27"/>
    <s v="User21"/>
    <s v="Test21"/>
    <x v="1"/>
    <s v="Jaipur"/>
    <x v="3"/>
    <x v="10"/>
    <n v="156"/>
    <n v="6"/>
    <n v="0.94"/>
    <n v="1529.2"/>
    <x v="1"/>
  </r>
  <r>
    <n v="27"/>
    <s v="User21"/>
    <s v="Test21"/>
    <x v="1"/>
    <s v="Jaipur"/>
    <x v="3"/>
    <x v="11"/>
    <n v="386"/>
    <n v="3"/>
    <n v="0.86"/>
    <n v="3415.2"/>
    <x v="1"/>
  </r>
  <r>
    <n v="28"/>
    <s v="User22"/>
    <s v="Test22"/>
    <x v="2"/>
    <s v="Udaipur"/>
    <x v="3"/>
    <x v="0"/>
    <n v="357"/>
    <n v="4"/>
    <n v="0.93"/>
    <n v="4248.5"/>
    <x v="1"/>
  </r>
  <r>
    <n v="28"/>
    <s v="User22"/>
    <s v="Test22"/>
    <x v="2"/>
    <s v="Udaipur"/>
    <x v="3"/>
    <x v="1"/>
    <n v="246"/>
    <n v="2"/>
    <n v="0.97"/>
    <n v="3083"/>
    <x v="1"/>
  </r>
  <r>
    <n v="28"/>
    <s v="User22"/>
    <s v="Test22"/>
    <x v="2"/>
    <s v="Udaipur"/>
    <x v="3"/>
    <x v="2"/>
    <n v="293"/>
    <n v="8"/>
    <n v="0.98"/>
    <n v="3576.5"/>
    <x v="1"/>
  </r>
  <r>
    <n v="28"/>
    <s v="User22"/>
    <s v="Test22"/>
    <x v="2"/>
    <s v="Udaipur"/>
    <x v="3"/>
    <x v="3"/>
    <n v="275"/>
    <n v="6"/>
    <n v="0.86"/>
    <n v="3387.5"/>
    <x v="1"/>
  </r>
  <r>
    <n v="28"/>
    <s v="User22"/>
    <s v="Test22"/>
    <x v="2"/>
    <s v="Udaipur"/>
    <x v="3"/>
    <x v="4"/>
    <n v="191"/>
    <n v="3"/>
    <n v="0.88"/>
    <n v="2505.5"/>
    <x v="1"/>
  </r>
  <r>
    <n v="28"/>
    <s v="User22"/>
    <s v="Test22"/>
    <x v="2"/>
    <s v="Udaipur"/>
    <x v="3"/>
    <x v="5"/>
    <n v="325"/>
    <n v="9"/>
    <n v="0.9"/>
    <n v="3912.5"/>
    <x v="1"/>
  </r>
  <r>
    <n v="28"/>
    <s v="User22"/>
    <s v="Test22"/>
    <x v="2"/>
    <s v="Udaipur"/>
    <x v="3"/>
    <x v="6"/>
    <n v="389"/>
    <n v="5"/>
    <n v="0.99"/>
    <n v="4584.5"/>
    <x v="1"/>
  </r>
  <r>
    <n v="28"/>
    <s v="User22"/>
    <s v="Test22"/>
    <x v="2"/>
    <s v="Udaipur"/>
    <x v="3"/>
    <x v="7"/>
    <n v="371"/>
    <n v="10"/>
    <n v="0.96"/>
    <n v="4395.5"/>
    <x v="0"/>
  </r>
  <r>
    <n v="28"/>
    <s v="User22"/>
    <s v="Test22"/>
    <x v="2"/>
    <s v="Udaipur"/>
    <x v="3"/>
    <x v="8"/>
    <n v="394"/>
    <n v="6"/>
    <n v="0.85"/>
    <n v="4637"/>
    <x v="1"/>
  </r>
  <r>
    <n v="28"/>
    <s v="User22"/>
    <s v="Test22"/>
    <x v="2"/>
    <s v="Udaipur"/>
    <x v="3"/>
    <x v="9"/>
    <n v="236"/>
    <n v="9"/>
    <n v="0.89"/>
    <n v="2978"/>
    <x v="1"/>
  </r>
  <r>
    <n v="28"/>
    <s v="User22"/>
    <s v="Test22"/>
    <x v="2"/>
    <s v="Udaipur"/>
    <x v="3"/>
    <x v="10"/>
    <n v="335"/>
    <n v="8"/>
    <n v="0.96"/>
    <n v="4017.5"/>
    <x v="1"/>
  </r>
  <r>
    <n v="28"/>
    <s v="User22"/>
    <s v="Test22"/>
    <x v="2"/>
    <s v="Udaipur"/>
    <x v="3"/>
    <x v="11"/>
    <n v="238"/>
    <n v="8"/>
    <n v="0.99"/>
    <n v="2999"/>
    <x v="1"/>
  </r>
  <r>
    <n v="29"/>
    <s v="User23"/>
    <s v="Test23"/>
    <x v="3"/>
    <s v="Jodhpur"/>
    <x v="3"/>
    <x v="0"/>
    <n v="210"/>
    <n v="7"/>
    <n v="0.99"/>
    <n v="1083"/>
    <x v="1"/>
  </r>
  <r>
    <n v="29"/>
    <s v="User23"/>
    <s v="Test23"/>
    <x v="3"/>
    <s v="Jodhpur"/>
    <x v="3"/>
    <x v="1"/>
    <n v="222"/>
    <n v="5"/>
    <n v="0.88"/>
    <n v="1140.5999999999999"/>
    <x v="1"/>
  </r>
  <r>
    <n v="29"/>
    <s v="User23"/>
    <s v="Test23"/>
    <x v="3"/>
    <s v="Jodhpur"/>
    <x v="3"/>
    <x v="2"/>
    <n v="372"/>
    <n v="5"/>
    <n v="0.94"/>
    <n v="1860.6"/>
    <x v="1"/>
  </r>
  <r>
    <n v="29"/>
    <s v="User23"/>
    <s v="Test23"/>
    <x v="3"/>
    <s v="Jodhpur"/>
    <x v="3"/>
    <x v="3"/>
    <n v="357"/>
    <n v="4"/>
    <n v="0.94"/>
    <n v="1788.6"/>
    <x v="1"/>
  </r>
  <r>
    <n v="29"/>
    <s v="User23"/>
    <s v="Test23"/>
    <x v="3"/>
    <s v="Jodhpur"/>
    <x v="3"/>
    <x v="4"/>
    <n v="361"/>
    <n v="10"/>
    <n v="0.99"/>
    <n v="1807.8"/>
    <x v="1"/>
  </r>
  <r>
    <n v="29"/>
    <s v="User23"/>
    <s v="Test23"/>
    <x v="3"/>
    <s v="Jodhpur"/>
    <x v="3"/>
    <x v="5"/>
    <n v="222"/>
    <n v="4"/>
    <n v="0.9"/>
    <n v="1140.5999999999999"/>
    <x v="1"/>
  </r>
  <r>
    <n v="29"/>
    <s v="User23"/>
    <s v="Test23"/>
    <x v="3"/>
    <s v="Jodhpur"/>
    <x v="3"/>
    <x v="6"/>
    <n v="161"/>
    <n v="5"/>
    <n v="0.86"/>
    <n v="847.8"/>
    <x v="1"/>
  </r>
  <r>
    <n v="29"/>
    <s v="User23"/>
    <s v="Test23"/>
    <x v="3"/>
    <s v="Jodhpur"/>
    <x v="3"/>
    <x v="7"/>
    <n v="320"/>
    <n v="8"/>
    <n v="0.95"/>
    <n v="1611"/>
    <x v="1"/>
  </r>
  <r>
    <n v="29"/>
    <s v="User23"/>
    <s v="Test23"/>
    <x v="3"/>
    <s v="Jodhpur"/>
    <x v="3"/>
    <x v="8"/>
    <n v="337"/>
    <n v="10"/>
    <n v="0.87"/>
    <n v="1692.6"/>
    <x v="1"/>
  </r>
  <r>
    <n v="29"/>
    <s v="User23"/>
    <s v="Test23"/>
    <x v="3"/>
    <s v="Jodhpur"/>
    <x v="3"/>
    <x v="9"/>
    <n v="238"/>
    <n v="7"/>
    <n v="0.92"/>
    <n v="1217.4000000000001"/>
    <x v="0"/>
  </r>
  <r>
    <n v="29"/>
    <s v="User23"/>
    <s v="Test23"/>
    <x v="3"/>
    <s v="Jodhpur"/>
    <x v="3"/>
    <x v="10"/>
    <n v="359"/>
    <n v="9"/>
    <n v="0.97"/>
    <n v="1798.2"/>
    <x v="1"/>
  </r>
  <r>
    <n v="29"/>
    <s v="User23"/>
    <s v="Test23"/>
    <x v="3"/>
    <s v="Jodhpur"/>
    <x v="3"/>
    <x v="11"/>
    <n v="175"/>
    <n v="8"/>
    <n v="0.95"/>
    <n v="915"/>
    <x v="1"/>
  </r>
  <r>
    <n v="30"/>
    <s v="User24"/>
    <s v="Test24"/>
    <x v="0"/>
    <s v="Bengaluru"/>
    <x v="2"/>
    <x v="0"/>
    <n v="233"/>
    <n v="4"/>
    <n v="0.86"/>
    <n v="1614.5"/>
    <x v="1"/>
  </r>
  <r>
    <n v="30"/>
    <s v="User24"/>
    <s v="Test24"/>
    <x v="0"/>
    <s v="Bengaluru"/>
    <x v="2"/>
    <x v="1"/>
    <n v="354"/>
    <n v="10"/>
    <n v="0.99"/>
    <n v="2401"/>
    <x v="1"/>
  </r>
  <r>
    <n v="30"/>
    <s v="User24"/>
    <s v="Test24"/>
    <x v="0"/>
    <s v="Bengaluru"/>
    <x v="2"/>
    <x v="2"/>
    <n v="349"/>
    <n v="8"/>
    <n v="0.87"/>
    <n v="2368.5"/>
    <x v="1"/>
  </r>
  <r>
    <n v="30"/>
    <s v="User24"/>
    <s v="Test24"/>
    <x v="0"/>
    <s v="Bengaluru"/>
    <x v="2"/>
    <x v="3"/>
    <n v="367"/>
    <n v="6"/>
    <n v="0.86"/>
    <n v="2485.5"/>
    <x v="1"/>
  </r>
  <r>
    <n v="30"/>
    <s v="User24"/>
    <s v="Test24"/>
    <x v="0"/>
    <s v="Bengaluru"/>
    <x v="2"/>
    <x v="4"/>
    <n v="329"/>
    <n v="6"/>
    <n v="0.89"/>
    <n v="2238.5"/>
    <x v="1"/>
  </r>
  <r>
    <n v="30"/>
    <s v="User24"/>
    <s v="Test24"/>
    <x v="0"/>
    <s v="Bengaluru"/>
    <x v="2"/>
    <x v="5"/>
    <n v="367"/>
    <n v="5"/>
    <n v="0.88"/>
    <n v="2485.5"/>
    <x v="1"/>
  </r>
  <r>
    <n v="30"/>
    <s v="User24"/>
    <s v="Test24"/>
    <x v="0"/>
    <s v="Bengaluru"/>
    <x v="2"/>
    <x v="6"/>
    <n v="327"/>
    <n v="2"/>
    <n v="0.97"/>
    <n v="2225.5"/>
    <x v="1"/>
  </r>
  <r>
    <n v="30"/>
    <s v="User24"/>
    <s v="Test24"/>
    <x v="0"/>
    <s v="Bengaluru"/>
    <x v="2"/>
    <x v="7"/>
    <n v="369"/>
    <n v="2"/>
    <n v="0.95"/>
    <n v="2498.5"/>
    <x v="1"/>
  </r>
  <r>
    <n v="30"/>
    <s v="User24"/>
    <s v="Test24"/>
    <x v="0"/>
    <s v="Bengaluru"/>
    <x v="2"/>
    <x v="8"/>
    <n v="324"/>
    <n v="10"/>
    <n v="0.88"/>
    <n v="2206"/>
    <x v="1"/>
  </r>
  <r>
    <n v="30"/>
    <s v="User24"/>
    <s v="Test24"/>
    <x v="0"/>
    <s v="Bengaluru"/>
    <x v="2"/>
    <x v="9"/>
    <n v="261"/>
    <n v="9"/>
    <n v="0.93"/>
    <n v="1796.5"/>
    <x v="1"/>
  </r>
  <r>
    <n v="30"/>
    <s v="User24"/>
    <s v="Test24"/>
    <x v="0"/>
    <s v="Bengaluru"/>
    <x v="2"/>
    <x v="10"/>
    <n v="312"/>
    <n v="6"/>
    <n v="0.86"/>
    <n v="2128"/>
    <x v="1"/>
  </r>
  <r>
    <n v="30"/>
    <s v="User24"/>
    <s v="Test24"/>
    <x v="0"/>
    <s v="Bengaluru"/>
    <x v="2"/>
    <x v="11"/>
    <n v="333"/>
    <n v="9"/>
    <n v="0.86"/>
    <n v="2264.5"/>
    <x v="1"/>
  </r>
  <r>
    <n v="31"/>
    <s v="User25"/>
    <s v="Test25"/>
    <x v="1"/>
    <s v="Mysuru"/>
    <x v="2"/>
    <x v="0"/>
    <n v="366"/>
    <n v="6"/>
    <n v="0.89"/>
    <n v="3251.2"/>
    <x v="1"/>
  </r>
  <r>
    <n v="31"/>
    <s v="User25"/>
    <s v="Test25"/>
    <x v="1"/>
    <s v="Mysuru"/>
    <x v="2"/>
    <x v="1"/>
    <n v="338"/>
    <n v="5"/>
    <n v="0.96"/>
    <n v="3021.6"/>
    <x v="0"/>
  </r>
  <r>
    <n v="31"/>
    <s v="User25"/>
    <s v="Test25"/>
    <x v="1"/>
    <s v="Mysuru"/>
    <x v="2"/>
    <x v="2"/>
    <n v="387"/>
    <n v="2"/>
    <n v="0.98"/>
    <n v="3423.4"/>
    <x v="1"/>
  </r>
  <r>
    <n v="31"/>
    <s v="User25"/>
    <s v="Test25"/>
    <x v="1"/>
    <s v="Mysuru"/>
    <x v="2"/>
    <x v="3"/>
    <n v="187"/>
    <n v="9"/>
    <n v="0.88"/>
    <n v="1783.4"/>
    <x v="1"/>
  </r>
  <r>
    <n v="31"/>
    <s v="User25"/>
    <s v="Test25"/>
    <x v="1"/>
    <s v="Mysuru"/>
    <x v="2"/>
    <x v="4"/>
    <n v="341"/>
    <n v="3"/>
    <n v="0.85"/>
    <n v="3046.2"/>
    <x v="1"/>
  </r>
  <r>
    <n v="31"/>
    <s v="User25"/>
    <s v="Test25"/>
    <x v="1"/>
    <s v="Mysuru"/>
    <x v="2"/>
    <x v="5"/>
    <n v="381"/>
    <n v="10"/>
    <n v="0.95"/>
    <n v="3374.2"/>
    <x v="1"/>
  </r>
  <r>
    <n v="31"/>
    <s v="User25"/>
    <s v="Test25"/>
    <x v="1"/>
    <s v="Mysuru"/>
    <x v="2"/>
    <x v="6"/>
    <n v="163"/>
    <n v="8"/>
    <n v="0.98"/>
    <n v="1586.6"/>
    <x v="1"/>
  </r>
  <r>
    <n v="31"/>
    <s v="User25"/>
    <s v="Test25"/>
    <x v="1"/>
    <s v="Mysuru"/>
    <x v="2"/>
    <x v="7"/>
    <n v="308"/>
    <n v="2"/>
    <n v="0.96"/>
    <n v="2775.6"/>
    <x v="0"/>
  </r>
  <r>
    <n v="31"/>
    <s v="User25"/>
    <s v="Test25"/>
    <x v="1"/>
    <s v="Mysuru"/>
    <x v="2"/>
    <x v="8"/>
    <n v="253"/>
    <n v="2"/>
    <n v="0.96"/>
    <n v="2324.6"/>
    <x v="1"/>
  </r>
  <r>
    <n v="31"/>
    <s v="User25"/>
    <s v="Test25"/>
    <x v="1"/>
    <s v="Mysuru"/>
    <x v="2"/>
    <x v="9"/>
    <n v="355"/>
    <n v="9"/>
    <n v="0.93"/>
    <n v="3161"/>
    <x v="1"/>
  </r>
  <r>
    <n v="31"/>
    <s v="User25"/>
    <s v="Test25"/>
    <x v="1"/>
    <s v="Mysuru"/>
    <x v="2"/>
    <x v="10"/>
    <n v="286"/>
    <n v="10"/>
    <n v="0.95"/>
    <n v="2595.1999999999998"/>
    <x v="1"/>
  </r>
  <r>
    <n v="31"/>
    <s v="User25"/>
    <s v="Test25"/>
    <x v="1"/>
    <s v="Mysuru"/>
    <x v="2"/>
    <x v="11"/>
    <n v="380"/>
    <n v="8"/>
    <n v="0.99"/>
    <n v="3366"/>
    <x v="1"/>
  </r>
  <r>
    <n v="32"/>
    <s v="User26"/>
    <s v="Test26"/>
    <x v="2"/>
    <s v="Chennai"/>
    <x v="4"/>
    <x v="0"/>
    <n v="317"/>
    <n v="2"/>
    <n v="0.99"/>
    <n v="3828.5"/>
    <x v="1"/>
  </r>
  <r>
    <n v="32"/>
    <s v="User26"/>
    <s v="Test26"/>
    <x v="2"/>
    <s v="Chennai"/>
    <x v="4"/>
    <x v="1"/>
    <n v="357"/>
    <n v="8"/>
    <n v="0.87"/>
    <n v="4248.5"/>
    <x v="1"/>
  </r>
  <r>
    <n v="32"/>
    <s v="User26"/>
    <s v="Test26"/>
    <x v="2"/>
    <s v="Chennai"/>
    <x v="4"/>
    <x v="2"/>
    <n v="291"/>
    <n v="6"/>
    <n v="0.86"/>
    <n v="3555.5"/>
    <x v="1"/>
  </r>
  <r>
    <n v="32"/>
    <s v="User26"/>
    <s v="Test26"/>
    <x v="2"/>
    <s v="Chennai"/>
    <x v="4"/>
    <x v="3"/>
    <n v="239"/>
    <n v="3"/>
    <n v="0.87"/>
    <n v="3009.5"/>
    <x v="1"/>
  </r>
  <r>
    <n v="32"/>
    <s v="User26"/>
    <s v="Test26"/>
    <x v="2"/>
    <s v="Chennai"/>
    <x v="4"/>
    <x v="4"/>
    <n v="226"/>
    <n v="2"/>
    <n v="0.91"/>
    <n v="2873"/>
    <x v="1"/>
  </r>
  <r>
    <n v="32"/>
    <s v="User26"/>
    <s v="Test26"/>
    <x v="2"/>
    <s v="Chennai"/>
    <x v="4"/>
    <x v="5"/>
    <n v="397"/>
    <n v="7"/>
    <n v="0.93"/>
    <n v="4668.5"/>
    <x v="1"/>
  </r>
  <r>
    <n v="32"/>
    <s v="User26"/>
    <s v="Test26"/>
    <x v="2"/>
    <s v="Chennai"/>
    <x v="4"/>
    <x v="6"/>
    <n v="300"/>
    <n v="9"/>
    <n v="0.97"/>
    <n v="3650"/>
    <x v="1"/>
  </r>
  <r>
    <n v="32"/>
    <s v="User26"/>
    <s v="Test26"/>
    <x v="2"/>
    <s v="Chennai"/>
    <x v="4"/>
    <x v="7"/>
    <n v="248"/>
    <n v="7"/>
    <n v="0.85"/>
    <n v="3104"/>
    <x v="1"/>
  </r>
  <r>
    <n v="32"/>
    <s v="User26"/>
    <s v="Test26"/>
    <x v="2"/>
    <s v="Chennai"/>
    <x v="4"/>
    <x v="8"/>
    <n v="382"/>
    <n v="3"/>
    <n v="0.86"/>
    <n v="4511"/>
    <x v="1"/>
  </r>
  <r>
    <n v="32"/>
    <s v="User26"/>
    <s v="Test26"/>
    <x v="2"/>
    <s v="Chennai"/>
    <x v="4"/>
    <x v="9"/>
    <n v="335"/>
    <n v="4"/>
    <n v="0.91"/>
    <n v="4017.5"/>
    <x v="0"/>
  </r>
  <r>
    <n v="32"/>
    <s v="User26"/>
    <s v="Test26"/>
    <x v="2"/>
    <s v="Chennai"/>
    <x v="4"/>
    <x v="10"/>
    <n v="156"/>
    <n v="2"/>
    <n v="0.96"/>
    <n v="2138"/>
    <x v="1"/>
  </r>
  <r>
    <n v="32"/>
    <s v="User26"/>
    <s v="Test26"/>
    <x v="2"/>
    <s v="Chennai"/>
    <x v="4"/>
    <x v="11"/>
    <n v="334"/>
    <n v="6"/>
    <n v="0.97"/>
    <n v="4007"/>
    <x v="0"/>
  </r>
  <r>
    <n v="33"/>
    <s v="User27"/>
    <s v="Test27"/>
    <x v="3"/>
    <s v="Coimbatore"/>
    <x v="4"/>
    <x v="0"/>
    <n v="306"/>
    <n v="2"/>
    <n v="0.93"/>
    <n v="1543.8"/>
    <x v="1"/>
  </r>
  <r>
    <n v="33"/>
    <s v="User27"/>
    <s v="Test27"/>
    <x v="3"/>
    <s v="Coimbatore"/>
    <x v="4"/>
    <x v="1"/>
    <n v="217"/>
    <n v="9"/>
    <n v="0.99"/>
    <n v="1116.5999999999999"/>
    <x v="1"/>
  </r>
  <r>
    <n v="33"/>
    <s v="User27"/>
    <s v="Test27"/>
    <x v="3"/>
    <s v="Coimbatore"/>
    <x v="4"/>
    <x v="2"/>
    <n v="242"/>
    <n v="9"/>
    <n v="0.91"/>
    <n v="1236.5999999999999"/>
    <x v="1"/>
  </r>
  <r>
    <n v="33"/>
    <s v="User27"/>
    <s v="Test27"/>
    <x v="3"/>
    <s v="Coimbatore"/>
    <x v="4"/>
    <x v="3"/>
    <n v="337"/>
    <n v="7"/>
    <n v="0.99"/>
    <n v="1692.6"/>
    <x v="1"/>
  </r>
  <r>
    <n v="33"/>
    <s v="User27"/>
    <s v="Test27"/>
    <x v="3"/>
    <s v="Coimbatore"/>
    <x v="4"/>
    <x v="4"/>
    <n v="178"/>
    <n v="4"/>
    <n v="0.92"/>
    <n v="929.4"/>
    <x v="0"/>
  </r>
  <r>
    <n v="33"/>
    <s v="User27"/>
    <s v="Test27"/>
    <x v="3"/>
    <s v="Coimbatore"/>
    <x v="4"/>
    <x v="5"/>
    <n v="158"/>
    <n v="7"/>
    <n v="0.89"/>
    <n v="833.4"/>
    <x v="0"/>
  </r>
  <r>
    <n v="33"/>
    <s v="User27"/>
    <s v="Test27"/>
    <x v="3"/>
    <s v="Coimbatore"/>
    <x v="4"/>
    <x v="6"/>
    <n v="217"/>
    <n v="2"/>
    <n v="0.9"/>
    <n v="1116.5999999999999"/>
    <x v="1"/>
  </r>
  <r>
    <n v="33"/>
    <s v="User27"/>
    <s v="Test27"/>
    <x v="3"/>
    <s v="Coimbatore"/>
    <x v="4"/>
    <x v="7"/>
    <n v="156"/>
    <n v="5"/>
    <n v="0.93"/>
    <n v="823.8"/>
    <x v="1"/>
  </r>
  <r>
    <n v="33"/>
    <s v="User27"/>
    <s v="Test27"/>
    <x v="3"/>
    <s v="Coimbatore"/>
    <x v="4"/>
    <x v="8"/>
    <n v="238"/>
    <n v="10"/>
    <n v="0.92"/>
    <n v="1217.4000000000001"/>
    <x v="1"/>
  </r>
  <r>
    <n v="33"/>
    <s v="User27"/>
    <s v="Test27"/>
    <x v="3"/>
    <s v="Coimbatore"/>
    <x v="4"/>
    <x v="9"/>
    <n v="255"/>
    <n v="6"/>
    <n v="0.9"/>
    <n v="1299"/>
    <x v="1"/>
  </r>
  <r>
    <n v="33"/>
    <s v="User27"/>
    <s v="Test27"/>
    <x v="3"/>
    <s v="Coimbatore"/>
    <x v="4"/>
    <x v="10"/>
    <n v="356"/>
    <n v="8"/>
    <n v="0.92"/>
    <n v="1783.8"/>
    <x v="1"/>
  </r>
  <r>
    <n v="33"/>
    <s v="User27"/>
    <s v="Test27"/>
    <x v="3"/>
    <s v="Coimbatore"/>
    <x v="4"/>
    <x v="11"/>
    <n v="289"/>
    <n v="7"/>
    <n v="0.9"/>
    <n v="1462.2"/>
    <x v="0"/>
  </r>
  <r>
    <n v="34"/>
    <s v="User28"/>
    <s v="Test28"/>
    <x v="0"/>
    <s v="New Delhi"/>
    <x v="5"/>
    <x v="0"/>
    <n v="168"/>
    <n v="2"/>
    <n v="0.92"/>
    <n v="1192"/>
    <x v="1"/>
  </r>
  <r>
    <n v="34"/>
    <s v="User28"/>
    <s v="Test28"/>
    <x v="0"/>
    <s v="New Delhi"/>
    <x v="5"/>
    <x v="1"/>
    <n v="221"/>
    <n v="9"/>
    <n v="0.96"/>
    <n v="1536.5"/>
    <x v="0"/>
  </r>
  <r>
    <n v="34"/>
    <s v="User28"/>
    <s v="Test28"/>
    <x v="0"/>
    <s v="New Delhi"/>
    <x v="5"/>
    <x v="2"/>
    <n v="316"/>
    <n v="10"/>
    <n v="0.95"/>
    <n v="2154"/>
    <x v="1"/>
  </r>
  <r>
    <n v="34"/>
    <s v="User28"/>
    <s v="Test28"/>
    <x v="0"/>
    <s v="New Delhi"/>
    <x v="5"/>
    <x v="3"/>
    <n v="246"/>
    <n v="9"/>
    <n v="0.95"/>
    <n v="1699"/>
    <x v="1"/>
  </r>
  <r>
    <n v="34"/>
    <s v="User28"/>
    <s v="Test28"/>
    <x v="0"/>
    <s v="New Delhi"/>
    <x v="5"/>
    <x v="4"/>
    <n v="318"/>
    <n v="3"/>
    <n v="0.89"/>
    <n v="2167"/>
    <x v="1"/>
  </r>
  <r>
    <n v="34"/>
    <s v="User28"/>
    <s v="Test28"/>
    <x v="0"/>
    <s v="New Delhi"/>
    <x v="5"/>
    <x v="5"/>
    <n v="243"/>
    <n v="3"/>
    <n v="0.97"/>
    <n v="1679.5"/>
    <x v="0"/>
  </r>
  <r>
    <n v="34"/>
    <s v="User28"/>
    <s v="Test28"/>
    <x v="0"/>
    <s v="New Delhi"/>
    <x v="5"/>
    <x v="6"/>
    <n v="340"/>
    <n v="9"/>
    <n v="0.91"/>
    <n v="2310"/>
    <x v="1"/>
  </r>
  <r>
    <n v="34"/>
    <s v="User28"/>
    <s v="Test28"/>
    <x v="0"/>
    <s v="New Delhi"/>
    <x v="5"/>
    <x v="7"/>
    <n v="293"/>
    <n v="9"/>
    <n v="0.91"/>
    <n v="2004.5"/>
    <x v="0"/>
  </r>
  <r>
    <n v="34"/>
    <s v="User28"/>
    <s v="Test28"/>
    <x v="0"/>
    <s v="New Delhi"/>
    <x v="5"/>
    <x v="8"/>
    <n v="227"/>
    <n v="8"/>
    <n v="0.95"/>
    <n v="1575.5"/>
    <x v="1"/>
  </r>
  <r>
    <n v="34"/>
    <s v="User28"/>
    <s v="Test28"/>
    <x v="0"/>
    <s v="New Delhi"/>
    <x v="5"/>
    <x v="9"/>
    <n v="202"/>
    <n v="2"/>
    <n v="0.97"/>
    <n v="1413"/>
    <x v="0"/>
  </r>
  <r>
    <n v="34"/>
    <s v="User28"/>
    <s v="Test28"/>
    <x v="0"/>
    <s v="New Delhi"/>
    <x v="5"/>
    <x v="10"/>
    <n v="168"/>
    <n v="6"/>
    <n v="0.93"/>
    <n v="1192"/>
    <x v="1"/>
  </r>
  <r>
    <n v="34"/>
    <s v="User28"/>
    <s v="Test28"/>
    <x v="0"/>
    <s v="New Delhi"/>
    <x v="5"/>
    <x v="11"/>
    <n v="328"/>
    <n v="4"/>
    <n v="0.96"/>
    <n v="2232"/>
    <x v="1"/>
  </r>
  <r>
    <n v="35"/>
    <s v="User29"/>
    <s v="Test29"/>
    <x v="1"/>
    <s v="Lucknow"/>
    <x v="6"/>
    <x v="0"/>
    <n v="324"/>
    <n v="4"/>
    <n v="0.93"/>
    <n v="2906.8"/>
    <x v="0"/>
  </r>
  <r>
    <n v="35"/>
    <s v="User29"/>
    <s v="Test29"/>
    <x v="1"/>
    <s v="Lucknow"/>
    <x v="6"/>
    <x v="1"/>
    <n v="185"/>
    <n v="2"/>
    <n v="0.92"/>
    <n v="1767"/>
    <x v="1"/>
  </r>
  <r>
    <n v="35"/>
    <s v="User29"/>
    <s v="Test29"/>
    <x v="1"/>
    <s v="Lucknow"/>
    <x v="6"/>
    <x v="2"/>
    <n v="207"/>
    <n v="2"/>
    <n v="0.94"/>
    <n v="1947.4"/>
    <x v="1"/>
  </r>
  <r>
    <n v="35"/>
    <s v="User29"/>
    <s v="Test29"/>
    <x v="1"/>
    <s v="Lucknow"/>
    <x v="6"/>
    <x v="3"/>
    <n v="393"/>
    <n v="8"/>
    <n v="0.98"/>
    <n v="3472.6"/>
    <x v="1"/>
  </r>
  <r>
    <n v="35"/>
    <s v="User29"/>
    <s v="Test29"/>
    <x v="1"/>
    <s v="Lucknow"/>
    <x v="6"/>
    <x v="4"/>
    <n v="361"/>
    <n v="6"/>
    <n v="0.85"/>
    <n v="3210.2"/>
    <x v="1"/>
  </r>
  <r>
    <n v="35"/>
    <s v="User29"/>
    <s v="Test29"/>
    <x v="1"/>
    <s v="Lucknow"/>
    <x v="6"/>
    <x v="5"/>
    <n v="173"/>
    <n v="5"/>
    <n v="0.97"/>
    <n v="1668.6"/>
    <x v="1"/>
  </r>
  <r>
    <n v="35"/>
    <s v="User29"/>
    <s v="Test29"/>
    <x v="1"/>
    <s v="Lucknow"/>
    <x v="6"/>
    <x v="6"/>
    <n v="357"/>
    <n v="9"/>
    <n v="0.95"/>
    <n v="3177.4"/>
    <x v="0"/>
  </r>
  <r>
    <n v="35"/>
    <s v="User29"/>
    <s v="Test29"/>
    <x v="1"/>
    <s v="Lucknow"/>
    <x v="6"/>
    <x v="7"/>
    <n v="384"/>
    <n v="8"/>
    <n v="0.96"/>
    <n v="3398.8"/>
    <x v="1"/>
  </r>
  <r>
    <n v="35"/>
    <s v="User29"/>
    <s v="Test29"/>
    <x v="1"/>
    <s v="Lucknow"/>
    <x v="6"/>
    <x v="8"/>
    <n v="239"/>
    <n v="3"/>
    <n v="0.9"/>
    <n v="2209.8000000000002"/>
    <x v="0"/>
  </r>
  <r>
    <n v="35"/>
    <s v="User29"/>
    <s v="Test29"/>
    <x v="1"/>
    <s v="Lucknow"/>
    <x v="6"/>
    <x v="9"/>
    <n v="312"/>
    <n v="7"/>
    <n v="0.91"/>
    <n v="2808.4"/>
    <x v="0"/>
  </r>
  <r>
    <n v="35"/>
    <s v="User29"/>
    <s v="Test29"/>
    <x v="1"/>
    <s v="Lucknow"/>
    <x v="6"/>
    <x v="10"/>
    <n v="172"/>
    <n v="10"/>
    <n v="0.88"/>
    <n v="1660.4"/>
    <x v="1"/>
  </r>
  <r>
    <n v="35"/>
    <s v="User29"/>
    <s v="Test29"/>
    <x v="1"/>
    <s v="Lucknow"/>
    <x v="6"/>
    <x v="11"/>
    <n v="223"/>
    <n v="8"/>
    <n v="0.88"/>
    <n v="2078.6"/>
    <x v="0"/>
  </r>
  <r>
    <n v="36"/>
    <s v="User30"/>
    <s v="Test30"/>
    <x v="2"/>
    <s v="Mumbai"/>
    <x v="0"/>
    <x v="0"/>
    <n v="344"/>
    <n v="6"/>
    <n v="0.86"/>
    <n v="4112"/>
    <x v="1"/>
  </r>
  <r>
    <n v="36"/>
    <s v="User30"/>
    <s v="Test30"/>
    <x v="2"/>
    <s v="Mumbai"/>
    <x v="0"/>
    <x v="1"/>
    <n v="273"/>
    <n v="3"/>
    <n v="0.94"/>
    <n v="3366.5"/>
    <x v="1"/>
  </r>
  <r>
    <n v="36"/>
    <s v="User30"/>
    <s v="Test30"/>
    <x v="2"/>
    <s v="Mumbai"/>
    <x v="0"/>
    <x v="2"/>
    <n v="303"/>
    <n v="7"/>
    <n v="0.95"/>
    <n v="3681.5"/>
    <x v="1"/>
  </r>
  <r>
    <n v="36"/>
    <s v="User30"/>
    <s v="Test30"/>
    <x v="2"/>
    <s v="Mumbai"/>
    <x v="0"/>
    <x v="3"/>
    <n v="377"/>
    <n v="6"/>
    <n v="0.98"/>
    <n v="4458.5"/>
    <x v="1"/>
  </r>
  <r>
    <n v="36"/>
    <s v="User30"/>
    <s v="Test30"/>
    <x v="2"/>
    <s v="Mumbai"/>
    <x v="0"/>
    <x v="4"/>
    <n v="239"/>
    <n v="7"/>
    <n v="0.96"/>
    <n v="3009.5"/>
    <x v="0"/>
  </r>
  <r>
    <n v="36"/>
    <s v="User30"/>
    <s v="Test30"/>
    <x v="2"/>
    <s v="Mumbai"/>
    <x v="0"/>
    <x v="5"/>
    <n v="285"/>
    <n v="7"/>
    <n v="0.88"/>
    <n v="3492.5"/>
    <x v="1"/>
  </r>
  <r>
    <n v="36"/>
    <s v="User30"/>
    <s v="Test30"/>
    <x v="2"/>
    <s v="Mumbai"/>
    <x v="0"/>
    <x v="6"/>
    <n v="356"/>
    <n v="5"/>
    <n v="0.95"/>
    <n v="4238"/>
    <x v="0"/>
  </r>
  <r>
    <n v="36"/>
    <s v="User30"/>
    <s v="Test30"/>
    <x v="2"/>
    <s v="Mumbai"/>
    <x v="0"/>
    <x v="7"/>
    <n v="387"/>
    <n v="9"/>
    <n v="0.99"/>
    <n v="4563.5"/>
    <x v="1"/>
  </r>
  <r>
    <n v="36"/>
    <s v="User30"/>
    <s v="Test30"/>
    <x v="2"/>
    <s v="Mumbai"/>
    <x v="0"/>
    <x v="8"/>
    <n v="186"/>
    <n v="7"/>
    <n v="0.87"/>
    <n v="2453"/>
    <x v="1"/>
  </r>
  <r>
    <n v="36"/>
    <s v="User30"/>
    <s v="Test30"/>
    <x v="2"/>
    <s v="Mumbai"/>
    <x v="0"/>
    <x v="9"/>
    <n v="199"/>
    <n v="3"/>
    <n v="0.91"/>
    <n v="2589.5"/>
    <x v="1"/>
  </r>
  <r>
    <n v="36"/>
    <s v="User30"/>
    <s v="Test30"/>
    <x v="2"/>
    <s v="Mumbai"/>
    <x v="0"/>
    <x v="10"/>
    <n v="191"/>
    <n v="3"/>
    <n v="0.85"/>
    <n v="2505.5"/>
    <x v="1"/>
  </r>
  <r>
    <n v="36"/>
    <s v="User30"/>
    <s v="Test30"/>
    <x v="2"/>
    <s v="Mumbai"/>
    <x v="0"/>
    <x v="11"/>
    <n v="325"/>
    <n v="6"/>
    <n v="0.98"/>
    <n v="3912.5"/>
    <x v="1"/>
  </r>
  <r>
    <n v="37"/>
    <s v="User31"/>
    <s v="Test31"/>
    <x v="3"/>
    <s v="Pune"/>
    <x v="0"/>
    <x v="0"/>
    <n v="235"/>
    <n v="2"/>
    <n v="0.87"/>
    <n v="1203"/>
    <x v="1"/>
  </r>
  <r>
    <n v="37"/>
    <s v="User31"/>
    <s v="Test31"/>
    <x v="3"/>
    <s v="Pune"/>
    <x v="0"/>
    <x v="1"/>
    <n v="192"/>
    <n v="6"/>
    <n v="0.91"/>
    <n v="996.6"/>
    <x v="1"/>
  </r>
  <r>
    <n v="37"/>
    <s v="User31"/>
    <s v="Test31"/>
    <x v="3"/>
    <s v="Pune"/>
    <x v="0"/>
    <x v="2"/>
    <n v="239"/>
    <n v="10"/>
    <n v="0.89"/>
    <n v="1222.2"/>
    <x v="1"/>
  </r>
  <r>
    <n v="37"/>
    <s v="User31"/>
    <s v="Test31"/>
    <x v="3"/>
    <s v="Pune"/>
    <x v="0"/>
    <x v="3"/>
    <n v="329"/>
    <n v="7"/>
    <n v="0.92"/>
    <n v="1654.2"/>
    <x v="1"/>
  </r>
  <r>
    <n v="37"/>
    <s v="User31"/>
    <s v="Test31"/>
    <x v="3"/>
    <s v="Pune"/>
    <x v="0"/>
    <x v="4"/>
    <n v="196"/>
    <n v="3"/>
    <n v="0.89"/>
    <n v="1015.8"/>
    <x v="1"/>
  </r>
  <r>
    <n v="37"/>
    <s v="User31"/>
    <s v="Test31"/>
    <x v="3"/>
    <s v="Pune"/>
    <x v="0"/>
    <x v="5"/>
    <n v="309"/>
    <n v="4"/>
    <n v="0.92"/>
    <n v="1558.2"/>
    <x v="1"/>
  </r>
  <r>
    <n v="37"/>
    <s v="User31"/>
    <s v="Test31"/>
    <x v="3"/>
    <s v="Pune"/>
    <x v="0"/>
    <x v="6"/>
    <n v="161"/>
    <n v="4"/>
    <n v="0.99"/>
    <n v="847.8"/>
    <x v="1"/>
  </r>
  <r>
    <n v="37"/>
    <s v="User31"/>
    <s v="Test31"/>
    <x v="3"/>
    <s v="Pune"/>
    <x v="0"/>
    <x v="7"/>
    <n v="353"/>
    <n v="10"/>
    <n v="0.94"/>
    <n v="1769.4"/>
    <x v="1"/>
  </r>
  <r>
    <n v="37"/>
    <s v="User31"/>
    <s v="Test31"/>
    <x v="3"/>
    <s v="Pune"/>
    <x v="0"/>
    <x v="8"/>
    <n v="400"/>
    <n v="7"/>
    <n v="0.98"/>
    <n v="1995"/>
    <x v="1"/>
  </r>
  <r>
    <n v="37"/>
    <s v="User31"/>
    <s v="Test31"/>
    <x v="3"/>
    <s v="Pune"/>
    <x v="0"/>
    <x v="9"/>
    <n v="380"/>
    <n v="9"/>
    <n v="0.98"/>
    <n v="1899"/>
    <x v="1"/>
  </r>
  <r>
    <n v="37"/>
    <s v="User31"/>
    <s v="Test31"/>
    <x v="3"/>
    <s v="Pune"/>
    <x v="0"/>
    <x v="10"/>
    <n v="301"/>
    <n v="5"/>
    <n v="0.85"/>
    <n v="1519.8"/>
    <x v="1"/>
  </r>
  <r>
    <n v="37"/>
    <s v="User31"/>
    <s v="Test31"/>
    <x v="3"/>
    <s v="Pune"/>
    <x v="0"/>
    <x v="11"/>
    <n v="264"/>
    <n v="8"/>
    <n v="0.85"/>
    <n v="1342.2"/>
    <x v="1"/>
  </r>
  <r>
    <n v="38"/>
    <s v="User32"/>
    <s v="Test32"/>
    <x v="0"/>
    <s v="Nagpur"/>
    <x v="0"/>
    <x v="0"/>
    <n v="381"/>
    <n v="5"/>
    <n v="0.93"/>
    <n v="2576.5"/>
    <x v="1"/>
  </r>
  <r>
    <n v="38"/>
    <s v="User32"/>
    <s v="Test32"/>
    <x v="0"/>
    <s v="Nagpur"/>
    <x v="0"/>
    <x v="1"/>
    <n v="235"/>
    <n v="7"/>
    <n v="0.85"/>
    <n v="1627.5"/>
    <x v="1"/>
  </r>
  <r>
    <n v="38"/>
    <s v="User32"/>
    <s v="Test32"/>
    <x v="0"/>
    <s v="Nagpur"/>
    <x v="0"/>
    <x v="2"/>
    <n v="327"/>
    <n v="4"/>
    <n v="0.92"/>
    <n v="2225.5"/>
    <x v="1"/>
  </r>
  <r>
    <n v="38"/>
    <s v="User32"/>
    <s v="Test32"/>
    <x v="0"/>
    <s v="Nagpur"/>
    <x v="0"/>
    <x v="3"/>
    <n v="300"/>
    <n v="7"/>
    <n v="0.94"/>
    <n v="2050"/>
    <x v="1"/>
  </r>
  <r>
    <n v="38"/>
    <s v="User32"/>
    <s v="Test32"/>
    <x v="0"/>
    <s v="Nagpur"/>
    <x v="0"/>
    <x v="4"/>
    <n v="263"/>
    <n v="9"/>
    <n v="0.95"/>
    <n v="1809.5"/>
    <x v="1"/>
  </r>
  <r>
    <n v="38"/>
    <s v="User32"/>
    <s v="Test32"/>
    <x v="0"/>
    <s v="Nagpur"/>
    <x v="0"/>
    <x v="5"/>
    <n v="381"/>
    <n v="8"/>
    <n v="0.95"/>
    <n v="2576.5"/>
    <x v="1"/>
  </r>
  <r>
    <n v="38"/>
    <s v="User32"/>
    <s v="Test32"/>
    <x v="0"/>
    <s v="Nagpur"/>
    <x v="0"/>
    <x v="6"/>
    <n v="244"/>
    <n v="4"/>
    <n v="0.9"/>
    <n v="1686"/>
    <x v="1"/>
  </r>
  <r>
    <n v="38"/>
    <s v="User32"/>
    <s v="Test32"/>
    <x v="0"/>
    <s v="Nagpur"/>
    <x v="0"/>
    <x v="7"/>
    <n v="161"/>
    <n v="4"/>
    <n v="0.95"/>
    <n v="1146.5"/>
    <x v="1"/>
  </r>
  <r>
    <n v="38"/>
    <s v="User32"/>
    <s v="Test32"/>
    <x v="0"/>
    <s v="Nagpur"/>
    <x v="0"/>
    <x v="8"/>
    <n v="184"/>
    <n v="7"/>
    <n v="0.91"/>
    <n v="1296"/>
    <x v="1"/>
  </r>
  <r>
    <n v="38"/>
    <s v="User32"/>
    <s v="Test32"/>
    <x v="0"/>
    <s v="Nagpur"/>
    <x v="0"/>
    <x v="9"/>
    <n v="336"/>
    <n v="6"/>
    <n v="0.96"/>
    <n v="2284"/>
    <x v="1"/>
  </r>
  <r>
    <n v="38"/>
    <s v="User32"/>
    <s v="Test32"/>
    <x v="0"/>
    <s v="Nagpur"/>
    <x v="0"/>
    <x v="10"/>
    <n v="389"/>
    <n v="2"/>
    <n v="0.91"/>
    <n v="2628.5"/>
    <x v="0"/>
  </r>
  <r>
    <n v="38"/>
    <s v="User32"/>
    <s v="Test32"/>
    <x v="0"/>
    <s v="Nagpur"/>
    <x v="0"/>
    <x v="11"/>
    <n v="228"/>
    <n v="3"/>
    <n v="0.9"/>
    <n v="1582"/>
    <x v="1"/>
  </r>
  <r>
    <n v="39"/>
    <s v="User33"/>
    <s v="Test33"/>
    <x v="1"/>
    <s v="Ahmedabad"/>
    <x v="1"/>
    <x v="0"/>
    <n v="358"/>
    <n v="8"/>
    <n v="0.97"/>
    <n v="3185.6"/>
    <x v="1"/>
  </r>
  <r>
    <n v="39"/>
    <s v="User33"/>
    <s v="Test33"/>
    <x v="1"/>
    <s v="Ahmedabad"/>
    <x v="1"/>
    <x v="1"/>
    <n v="234"/>
    <n v="8"/>
    <n v="0.96"/>
    <n v="2168.8000000000002"/>
    <x v="1"/>
  </r>
  <r>
    <n v="39"/>
    <s v="User33"/>
    <s v="Test33"/>
    <x v="1"/>
    <s v="Ahmedabad"/>
    <x v="1"/>
    <x v="2"/>
    <n v="398"/>
    <n v="3"/>
    <n v="0.89"/>
    <n v="3513.6"/>
    <x v="1"/>
  </r>
  <r>
    <n v="39"/>
    <s v="User33"/>
    <s v="Test33"/>
    <x v="1"/>
    <s v="Ahmedabad"/>
    <x v="1"/>
    <x v="3"/>
    <n v="248"/>
    <n v="9"/>
    <n v="0.88"/>
    <n v="2283.6"/>
    <x v="1"/>
  </r>
  <r>
    <n v="39"/>
    <s v="User33"/>
    <s v="Test33"/>
    <x v="1"/>
    <s v="Ahmedabad"/>
    <x v="1"/>
    <x v="4"/>
    <n v="308"/>
    <n v="5"/>
    <n v="0.99"/>
    <n v="2775.6"/>
    <x v="1"/>
  </r>
  <r>
    <n v="39"/>
    <s v="User33"/>
    <s v="Test33"/>
    <x v="1"/>
    <s v="Ahmedabad"/>
    <x v="1"/>
    <x v="5"/>
    <n v="188"/>
    <n v="3"/>
    <n v="0.93"/>
    <n v="1791.6"/>
    <x v="1"/>
  </r>
  <r>
    <n v="39"/>
    <s v="User33"/>
    <s v="Test33"/>
    <x v="1"/>
    <s v="Ahmedabad"/>
    <x v="1"/>
    <x v="6"/>
    <n v="206"/>
    <n v="5"/>
    <n v="0.96"/>
    <n v="1939.2"/>
    <x v="1"/>
  </r>
  <r>
    <n v="39"/>
    <s v="User33"/>
    <s v="Test33"/>
    <x v="1"/>
    <s v="Ahmedabad"/>
    <x v="1"/>
    <x v="7"/>
    <n v="339"/>
    <n v="8"/>
    <n v="0.94"/>
    <n v="3029.8"/>
    <x v="0"/>
  </r>
  <r>
    <n v="39"/>
    <s v="User33"/>
    <s v="Test33"/>
    <x v="1"/>
    <s v="Ahmedabad"/>
    <x v="1"/>
    <x v="8"/>
    <n v="352"/>
    <n v="9"/>
    <n v="0.89"/>
    <n v="3136.4"/>
    <x v="0"/>
  </r>
  <r>
    <n v="39"/>
    <s v="User33"/>
    <s v="Test33"/>
    <x v="1"/>
    <s v="Ahmedabad"/>
    <x v="1"/>
    <x v="9"/>
    <n v="350"/>
    <n v="9"/>
    <n v="0.99"/>
    <n v="3120"/>
    <x v="1"/>
  </r>
  <r>
    <n v="39"/>
    <s v="User33"/>
    <s v="Test33"/>
    <x v="1"/>
    <s v="Ahmedabad"/>
    <x v="1"/>
    <x v="10"/>
    <n v="311"/>
    <n v="7"/>
    <n v="0.86"/>
    <n v="2800.2"/>
    <x v="1"/>
  </r>
  <r>
    <n v="39"/>
    <s v="User33"/>
    <s v="Test33"/>
    <x v="1"/>
    <s v="Ahmedabad"/>
    <x v="1"/>
    <x v="11"/>
    <n v="216"/>
    <n v="10"/>
    <n v="0.97"/>
    <n v="2021.2"/>
    <x v="0"/>
  </r>
  <r>
    <n v="40"/>
    <s v="User34"/>
    <s v="Test34"/>
    <x v="2"/>
    <s v="Surat"/>
    <x v="1"/>
    <x v="0"/>
    <n v="384"/>
    <n v="8"/>
    <n v="0.89"/>
    <n v="4532"/>
    <x v="1"/>
  </r>
  <r>
    <n v="40"/>
    <s v="User34"/>
    <s v="Test34"/>
    <x v="2"/>
    <s v="Surat"/>
    <x v="1"/>
    <x v="1"/>
    <n v="188"/>
    <n v="2"/>
    <n v="0.89"/>
    <n v="2474"/>
    <x v="1"/>
  </r>
  <r>
    <n v="40"/>
    <s v="User34"/>
    <s v="Test34"/>
    <x v="2"/>
    <s v="Surat"/>
    <x v="1"/>
    <x v="2"/>
    <n v="159"/>
    <n v="10"/>
    <n v="0.87"/>
    <n v="2169.5"/>
    <x v="1"/>
  </r>
  <r>
    <n v="40"/>
    <s v="User34"/>
    <s v="Test34"/>
    <x v="2"/>
    <s v="Surat"/>
    <x v="1"/>
    <x v="3"/>
    <n v="209"/>
    <n v="6"/>
    <n v="0.99"/>
    <n v="2694.5"/>
    <x v="1"/>
  </r>
  <r>
    <n v="40"/>
    <s v="User34"/>
    <s v="Test34"/>
    <x v="2"/>
    <s v="Surat"/>
    <x v="1"/>
    <x v="4"/>
    <n v="210"/>
    <n v="5"/>
    <n v="0.85"/>
    <n v="2705"/>
    <x v="1"/>
  </r>
  <r>
    <n v="40"/>
    <s v="User34"/>
    <s v="Test34"/>
    <x v="2"/>
    <s v="Surat"/>
    <x v="1"/>
    <x v="5"/>
    <n v="273"/>
    <n v="8"/>
    <n v="0.88"/>
    <n v="3366.5"/>
    <x v="1"/>
  </r>
  <r>
    <n v="40"/>
    <s v="User34"/>
    <s v="Test34"/>
    <x v="2"/>
    <s v="Surat"/>
    <x v="1"/>
    <x v="6"/>
    <n v="186"/>
    <n v="4"/>
    <n v="0.98"/>
    <n v="2453"/>
    <x v="1"/>
  </r>
  <r>
    <n v="40"/>
    <s v="User34"/>
    <s v="Test34"/>
    <x v="2"/>
    <s v="Surat"/>
    <x v="1"/>
    <x v="7"/>
    <n v="343"/>
    <n v="10"/>
    <n v="0.85"/>
    <n v="4101.5"/>
    <x v="1"/>
  </r>
  <r>
    <n v="40"/>
    <s v="User34"/>
    <s v="Test34"/>
    <x v="2"/>
    <s v="Surat"/>
    <x v="1"/>
    <x v="8"/>
    <n v="226"/>
    <n v="6"/>
    <n v="0.91"/>
    <n v="2873"/>
    <x v="1"/>
  </r>
  <r>
    <n v="40"/>
    <s v="User34"/>
    <s v="Test34"/>
    <x v="2"/>
    <s v="Surat"/>
    <x v="1"/>
    <x v="9"/>
    <n v="363"/>
    <n v="9"/>
    <n v="0.99"/>
    <n v="4311.5"/>
    <x v="1"/>
  </r>
  <r>
    <n v="40"/>
    <s v="User34"/>
    <s v="Test34"/>
    <x v="2"/>
    <s v="Surat"/>
    <x v="1"/>
    <x v="10"/>
    <n v="269"/>
    <n v="10"/>
    <n v="0.88"/>
    <n v="3324.5"/>
    <x v="1"/>
  </r>
  <r>
    <n v="40"/>
    <s v="User34"/>
    <s v="Test34"/>
    <x v="2"/>
    <s v="Surat"/>
    <x v="1"/>
    <x v="11"/>
    <n v="170"/>
    <n v="7"/>
    <n v="0.85"/>
    <n v="2285"/>
    <x v="1"/>
  </r>
  <r>
    <n v="41"/>
    <s v="User35"/>
    <s v="Test35"/>
    <x v="3"/>
    <s v="Vadodara"/>
    <x v="1"/>
    <x v="0"/>
    <n v="378"/>
    <n v="2"/>
    <n v="0.88"/>
    <n v="1889.4"/>
    <x v="1"/>
  </r>
  <r>
    <n v="41"/>
    <s v="User35"/>
    <s v="Test35"/>
    <x v="3"/>
    <s v="Vadodara"/>
    <x v="1"/>
    <x v="1"/>
    <n v="218"/>
    <n v="10"/>
    <n v="0.87"/>
    <n v="1121.4000000000001"/>
    <x v="1"/>
  </r>
  <r>
    <n v="41"/>
    <s v="User35"/>
    <s v="Test35"/>
    <x v="3"/>
    <s v="Vadodara"/>
    <x v="1"/>
    <x v="2"/>
    <n v="379"/>
    <n v="10"/>
    <n v="0.96"/>
    <n v="1894.2"/>
    <x v="1"/>
  </r>
  <r>
    <n v="41"/>
    <s v="User35"/>
    <s v="Test35"/>
    <x v="3"/>
    <s v="Vadodara"/>
    <x v="1"/>
    <x v="3"/>
    <n v="259"/>
    <n v="4"/>
    <n v="0.99"/>
    <n v="1318.2"/>
    <x v="1"/>
  </r>
  <r>
    <n v="41"/>
    <s v="User35"/>
    <s v="Test35"/>
    <x v="3"/>
    <s v="Vadodara"/>
    <x v="1"/>
    <x v="4"/>
    <n v="186"/>
    <n v="2"/>
    <n v="0.89"/>
    <n v="967.8"/>
    <x v="1"/>
  </r>
  <r>
    <n v="41"/>
    <s v="User35"/>
    <s v="Test35"/>
    <x v="3"/>
    <s v="Vadodara"/>
    <x v="1"/>
    <x v="5"/>
    <n v="352"/>
    <n v="3"/>
    <n v="0.98"/>
    <n v="1764.6"/>
    <x v="1"/>
  </r>
  <r>
    <n v="41"/>
    <s v="User35"/>
    <s v="Test35"/>
    <x v="3"/>
    <s v="Vadodara"/>
    <x v="1"/>
    <x v="6"/>
    <n v="377"/>
    <n v="8"/>
    <n v="0.88"/>
    <n v="1884.6"/>
    <x v="1"/>
  </r>
  <r>
    <n v="41"/>
    <s v="User35"/>
    <s v="Test35"/>
    <x v="3"/>
    <s v="Vadodara"/>
    <x v="1"/>
    <x v="7"/>
    <n v="150"/>
    <n v="5"/>
    <n v="0.91"/>
    <n v="795"/>
    <x v="1"/>
  </r>
  <r>
    <n v="41"/>
    <s v="User35"/>
    <s v="Test35"/>
    <x v="3"/>
    <s v="Vadodara"/>
    <x v="1"/>
    <x v="8"/>
    <n v="354"/>
    <n v="7"/>
    <n v="0.94"/>
    <n v="1774.2"/>
    <x v="0"/>
  </r>
  <r>
    <n v="41"/>
    <s v="User35"/>
    <s v="Test35"/>
    <x v="3"/>
    <s v="Vadodara"/>
    <x v="1"/>
    <x v="9"/>
    <n v="263"/>
    <n v="8"/>
    <n v="0.96"/>
    <n v="1337.4"/>
    <x v="1"/>
  </r>
  <r>
    <n v="41"/>
    <s v="User35"/>
    <s v="Test35"/>
    <x v="3"/>
    <s v="Vadodara"/>
    <x v="1"/>
    <x v="10"/>
    <n v="178"/>
    <n v="9"/>
    <n v="0.89"/>
    <n v="929.4"/>
    <x v="1"/>
  </r>
  <r>
    <n v="41"/>
    <s v="User35"/>
    <s v="Test35"/>
    <x v="3"/>
    <s v="Vadodara"/>
    <x v="1"/>
    <x v="11"/>
    <n v="278"/>
    <n v="10"/>
    <n v="0.95"/>
    <n v="1409.4"/>
    <x v="1"/>
  </r>
  <r>
    <n v="42"/>
    <s v="User36"/>
    <s v="Test36"/>
    <x v="0"/>
    <s v="Jaipur"/>
    <x v="3"/>
    <x v="0"/>
    <n v="304"/>
    <n v="7"/>
    <n v="0.9"/>
    <n v="2076"/>
    <x v="1"/>
  </r>
  <r>
    <n v="42"/>
    <s v="User36"/>
    <s v="Test36"/>
    <x v="0"/>
    <s v="Jaipur"/>
    <x v="3"/>
    <x v="1"/>
    <n v="280"/>
    <n v="7"/>
    <n v="0.86"/>
    <n v="1920"/>
    <x v="0"/>
  </r>
  <r>
    <n v="42"/>
    <s v="User36"/>
    <s v="Test36"/>
    <x v="0"/>
    <s v="Jaipur"/>
    <x v="3"/>
    <x v="2"/>
    <n v="388"/>
    <n v="6"/>
    <n v="0.93"/>
    <n v="2622"/>
    <x v="1"/>
  </r>
  <r>
    <n v="42"/>
    <s v="User36"/>
    <s v="Test36"/>
    <x v="0"/>
    <s v="Jaipur"/>
    <x v="3"/>
    <x v="3"/>
    <n v="391"/>
    <n v="10"/>
    <n v="0.99"/>
    <n v="2641.5"/>
    <x v="1"/>
  </r>
  <r>
    <n v="42"/>
    <s v="User36"/>
    <s v="Test36"/>
    <x v="0"/>
    <s v="Jaipur"/>
    <x v="3"/>
    <x v="4"/>
    <n v="390"/>
    <n v="9"/>
    <n v="0.99"/>
    <n v="2635"/>
    <x v="1"/>
  </r>
  <r>
    <n v="42"/>
    <s v="User36"/>
    <s v="Test36"/>
    <x v="0"/>
    <s v="Jaipur"/>
    <x v="3"/>
    <x v="5"/>
    <n v="166"/>
    <n v="5"/>
    <n v="0.86"/>
    <n v="1179"/>
    <x v="1"/>
  </r>
  <r>
    <n v="42"/>
    <s v="User36"/>
    <s v="Test36"/>
    <x v="0"/>
    <s v="Jaipur"/>
    <x v="3"/>
    <x v="6"/>
    <n v="285"/>
    <n v="7"/>
    <n v="0.91"/>
    <n v="1952.5"/>
    <x v="1"/>
  </r>
  <r>
    <n v="42"/>
    <s v="User36"/>
    <s v="Test36"/>
    <x v="0"/>
    <s v="Jaipur"/>
    <x v="3"/>
    <x v="7"/>
    <n v="391"/>
    <n v="9"/>
    <n v="0.99"/>
    <n v="2641.5"/>
    <x v="1"/>
  </r>
  <r>
    <n v="42"/>
    <s v="User36"/>
    <s v="Test36"/>
    <x v="0"/>
    <s v="Jaipur"/>
    <x v="3"/>
    <x v="8"/>
    <n v="237"/>
    <n v="3"/>
    <n v="0.96"/>
    <n v="1640.5"/>
    <x v="0"/>
  </r>
  <r>
    <n v="42"/>
    <s v="User36"/>
    <s v="Test36"/>
    <x v="0"/>
    <s v="Jaipur"/>
    <x v="3"/>
    <x v="9"/>
    <n v="225"/>
    <n v="3"/>
    <n v="0.99"/>
    <n v="1562.5"/>
    <x v="1"/>
  </r>
  <r>
    <n v="42"/>
    <s v="User36"/>
    <s v="Test36"/>
    <x v="0"/>
    <s v="Jaipur"/>
    <x v="3"/>
    <x v="10"/>
    <n v="175"/>
    <n v="9"/>
    <n v="0.89"/>
    <n v="1237.5"/>
    <x v="1"/>
  </r>
  <r>
    <n v="42"/>
    <s v="User36"/>
    <s v="Test36"/>
    <x v="0"/>
    <s v="Jaipur"/>
    <x v="3"/>
    <x v="11"/>
    <n v="150"/>
    <n v="9"/>
    <n v="0.87"/>
    <n v="1075"/>
    <x v="1"/>
  </r>
  <r>
    <n v="43"/>
    <s v="User37"/>
    <s v="Test37"/>
    <x v="1"/>
    <s v="Udaipur"/>
    <x v="3"/>
    <x v="0"/>
    <n v="177"/>
    <n v="10"/>
    <n v="0.92"/>
    <n v="1701.4"/>
    <x v="0"/>
  </r>
  <r>
    <n v="43"/>
    <s v="User37"/>
    <s v="Test37"/>
    <x v="1"/>
    <s v="Udaipur"/>
    <x v="3"/>
    <x v="1"/>
    <n v="228"/>
    <n v="6"/>
    <n v="0.95"/>
    <n v="2119.6"/>
    <x v="1"/>
  </r>
  <r>
    <n v="43"/>
    <s v="User37"/>
    <s v="Test37"/>
    <x v="1"/>
    <s v="Udaipur"/>
    <x v="3"/>
    <x v="2"/>
    <n v="183"/>
    <n v="6"/>
    <n v="0.92"/>
    <n v="1750.6"/>
    <x v="1"/>
  </r>
  <r>
    <n v="43"/>
    <s v="User37"/>
    <s v="Test37"/>
    <x v="1"/>
    <s v="Udaipur"/>
    <x v="3"/>
    <x v="3"/>
    <n v="220"/>
    <n v="8"/>
    <n v="0.99"/>
    <n v="2054"/>
    <x v="1"/>
  </r>
  <r>
    <n v="43"/>
    <s v="User37"/>
    <s v="Test37"/>
    <x v="1"/>
    <s v="Udaipur"/>
    <x v="3"/>
    <x v="4"/>
    <n v="289"/>
    <n v="9"/>
    <n v="0.89"/>
    <n v="2619.8000000000002"/>
    <x v="1"/>
  </r>
  <r>
    <n v="43"/>
    <s v="User37"/>
    <s v="Test37"/>
    <x v="1"/>
    <s v="Udaipur"/>
    <x v="3"/>
    <x v="5"/>
    <n v="276"/>
    <n v="4"/>
    <n v="0.98"/>
    <n v="2513.1999999999998"/>
    <x v="1"/>
  </r>
  <r>
    <n v="43"/>
    <s v="User37"/>
    <s v="Test37"/>
    <x v="1"/>
    <s v="Udaipur"/>
    <x v="3"/>
    <x v="6"/>
    <n v="314"/>
    <n v="7"/>
    <n v="0.86"/>
    <n v="2824.8"/>
    <x v="1"/>
  </r>
  <r>
    <n v="43"/>
    <s v="User37"/>
    <s v="Test37"/>
    <x v="1"/>
    <s v="Udaipur"/>
    <x v="3"/>
    <x v="7"/>
    <n v="289"/>
    <n v="8"/>
    <n v="0.87"/>
    <n v="2619.8000000000002"/>
    <x v="1"/>
  </r>
  <r>
    <n v="43"/>
    <s v="User37"/>
    <s v="Test37"/>
    <x v="1"/>
    <s v="Udaipur"/>
    <x v="3"/>
    <x v="8"/>
    <n v="172"/>
    <n v="7"/>
    <n v="0.86"/>
    <n v="1660.4"/>
    <x v="1"/>
  </r>
  <r>
    <n v="43"/>
    <s v="User37"/>
    <s v="Test37"/>
    <x v="1"/>
    <s v="Udaipur"/>
    <x v="3"/>
    <x v="9"/>
    <n v="337"/>
    <n v="5"/>
    <n v="0.85"/>
    <n v="3013.4"/>
    <x v="1"/>
  </r>
  <r>
    <n v="43"/>
    <s v="User37"/>
    <s v="Test37"/>
    <x v="1"/>
    <s v="Udaipur"/>
    <x v="3"/>
    <x v="10"/>
    <n v="184"/>
    <n v="9"/>
    <n v="0.97"/>
    <n v="1758.8"/>
    <x v="1"/>
  </r>
  <r>
    <n v="43"/>
    <s v="User37"/>
    <s v="Test37"/>
    <x v="1"/>
    <s v="Udaipur"/>
    <x v="3"/>
    <x v="11"/>
    <n v="261"/>
    <n v="3"/>
    <n v="0.98"/>
    <n v="2390.1999999999998"/>
    <x v="0"/>
  </r>
  <r>
    <n v="44"/>
    <s v="User38"/>
    <s v="Test38"/>
    <x v="2"/>
    <s v="Jodhpur"/>
    <x v="3"/>
    <x v="0"/>
    <n v="305"/>
    <n v="8"/>
    <n v="0.99"/>
    <n v="3702.5"/>
    <x v="1"/>
  </r>
  <r>
    <n v="44"/>
    <s v="User38"/>
    <s v="Test38"/>
    <x v="2"/>
    <s v="Jodhpur"/>
    <x v="3"/>
    <x v="1"/>
    <n v="312"/>
    <n v="9"/>
    <n v="0.88"/>
    <n v="3776"/>
    <x v="1"/>
  </r>
  <r>
    <n v="44"/>
    <s v="User38"/>
    <s v="Test38"/>
    <x v="2"/>
    <s v="Jodhpur"/>
    <x v="3"/>
    <x v="2"/>
    <n v="151"/>
    <n v="4"/>
    <n v="0.87"/>
    <n v="2085.5"/>
    <x v="1"/>
  </r>
  <r>
    <n v="44"/>
    <s v="User38"/>
    <s v="Test38"/>
    <x v="2"/>
    <s v="Jodhpur"/>
    <x v="3"/>
    <x v="3"/>
    <n v="279"/>
    <n v="6"/>
    <n v="0.94"/>
    <n v="3429.5"/>
    <x v="1"/>
  </r>
  <r>
    <n v="44"/>
    <s v="User38"/>
    <s v="Test38"/>
    <x v="2"/>
    <s v="Jodhpur"/>
    <x v="3"/>
    <x v="4"/>
    <n v="240"/>
    <n v="7"/>
    <n v="0.95"/>
    <n v="3020"/>
    <x v="1"/>
  </r>
  <r>
    <n v="44"/>
    <s v="User38"/>
    <s v="Test38"/>
    <x v="2"/>
    <s v="Jodhpur"/>
    <x v="3"/>
    <x v="5"/>
    <n v="231"/>
    <n v="2"/>
    <n v="0.95"/>
    <n v="2925.5"/>
    <x v="1"/>
  </r>
  <r>
    <n v="44"/>
    <s v="User38"/>
    <s v="Test38"/>
    <x v="2"/>
    <s v="Jodhpur"/>
    <x v="3"/>
    <x v="6"/>
    <n v="237"/>
    <n v="10"/>
    <n v="0.89"/>
    <n v="2988.5"/>
    <x v="1"/>
  </r>
  <r>
    <n v="44"/>
    <s v="User38"/>
    <s v="Test38"/>
    <x v="2"/>
    <s v="Jodhpur"/>
    <x v="3"/>
    <x v="7"/>
    <n v="288"/>
    <n v="9"/>
    <n v="0.94"/>
    <n v="3524"/>
    <x v="0"/>
  </r>
  <r>
    <n v="44"/>
    <s v="User38"/>
    <s v="Test38"/>
    <x v="2"/>
    <s v="Jodhpur"/>
    <x v="3"/>
    <x v="8"/>
    <n v="362"/>
    <n v="4"/>
    <n v="0.9"/>
    <n v="4301"/>
    <x v="1"/>
  </r>
  <r>
    <n v="44"/>
    <s v="User38"/>
    <s v="Test38"/>
    <x v="2"/>
    <s v="Jodhpur"/>
    <x v="3"/>
    <x v="9"/>
    <n v="169"/>
    <n v="5"/>
    <n v="0.93"/>
    <n v="2274.5"/>
    <x v="1"/>
  </r>
  <r>
    <n v="44"/>
    <s v="User38"/>
    <s v="Test38"/>
    <x v="2"/>
    <s v="Jodhpur"/>
    <x v="3"/>
    <x v="10"/>
    <n v="235"/>
    <n v="3"/>
    <n v="0.94"/>
    <n v="2967.5"/>
    <x v="1"/>
  </r>
  <r>
    <n v="44"/>
    <s v="User38"/>
    <s v="Test38"/>
    <x v="2"/>
    <s v="Jodhpur"/>
    <x v="3"/>
    <x v="11"/>
    <n v="180"/>
    <n v="4"/>
    <n v="0.98"/>
    <n v="2390"/>
    <x v="1"/>
  </r>
  <r>
    <n v="45"/>
    <s v="User39"/>
    <s v="Test39"/>
    <x v="3"/>
    <s v="Bengaluru"/>
    <x v="2"/>
    <x v="0"/>
    <n v="255"/>
    <n v="4"/>
    <n v="0.92"/>
    <n v="1299"/>
    <x v="1"/>
  </r>
  <r>
    <n v="45"/>
    <s v="User39"/>
    <s v="Test39"/>
    <x v="3"/>
    <s v="Bengaluru"/>
    <x v="2"/>
    <x v="1"/>
    <n v="263"/>
    <n v="10"/>
    <n v="0.86"/>
    <n v="1337.4"/>
    <x v="1"/>
  </r>
  <r>
    <n v="45"/>
    <s v="User39"/>
    <s v="Test39"/>
    <x v="3"/>
    <s v="Bengaluru"/>
    <x v="2"/>
    <x v="2"/>
    <n v="279"/>
    <n v="9"/>
    <n v="0.92"/>
    <n v="1414.2"/>
    <x v="1"/>
  </r>
  <r>
    <n v="45"/>
    <s v="User39"/>
    <s v="Test39"/>
    <x v="3"/>
    <s v="Bengaluru"/>
    <x v="2"/>
    <x v="3"/>
    <n v="190"/>
    <n v="9"/>
    <n v="0.86"/>
    <n v="987"/>
    <x v="1"/>
  </r>
  <r>
    <n v="45"/>
    <s v="User39"/>
    <s v="Test39"/>
    <x v="3"/>
    <s v="Bengaluru"/>
    <x v="2"/>
    <x v="4"/>
    <n v="271"/>
    <n v="7"/>
    <n v="0.86"/>
    <n v="1375.8"/>
    <x v="1"/>
  </r>
  <r>
    <n v="45"/>
    <s v="User39"/>
    <s v="Test39"/>
    <x v="3"/>
    <s v="Bengaluru"/>
    <x v="2"/>
    <x v="5"/>
    <n v="233"/>
    <n v="6"/>
    <n v="0.93"/>
    <n v="1193.4000000000001"/>
    <x v="1"/>
  </r>
  <r>
    <n v="45"/>
    <s v="User39"/>
    <s v="Test39"/>
    <x v="3"/>
    <s v="Bengaluru"/>
    <x v="2"/>
    <x v="6"/>
    <n v="319"/>
    <n v="3"/>
    <n v="0.88"/>
    <n v="1606.2"/>
    <x v="1"/>
  </r>
  <r>
    <n v="45"/>
    <s v="User39"/>
    <s v="Test39"/>
    <x v="3"/>
    <s v="Bengaluru"/>
    <x v="2"/>
    <x v="7"/>
    <n v="182"/>
    <n v="4"/>
    <n v="0.96"/>
    <n v="948.6"/>
    <x v="1"/>
  </r>
  <r>
    <n v="45"/>
    <s v="User39"/>
    <s v="Test39"/>
    <x v="3"/>
    <s v="Bengaluru"/>
    <x v="2"/>
    <x v="8"/>
    <n v="388"/>
    <n v="8"/>
    <n v="0.92"/>
    <n v="1937.4"/>
    <x v="1"/>
  </r>
  <r>
    <n v="45"/>
    <s v="User39"/>
    <s v="Test39"/>
    <x v="3"/>
    <s v="Bengaluru"/>
    <x v="2"/>
    <x v="9"/>
    <n v="364"/>
    <n v="7"/>
    <n v="0.97"/>
    <n v="1822.2"/>
    <x v="1"/>
  </r>
  <r>
    <n v="45"/>
    <s v="User39"/>
    <s v="Test39"/>
    <x v="3"/>
    <s v="Bengaluru"/>
    <x v="2"/>
    <x v="10"/>
    <n v="257"/>
    <n v="10"/>
    <n v="0.85"/>
    <n v="1308.5999999999999"/>
    <x v="1"/>
  </r>
  <r>
    <n v="45"/>
    <s v="User39"/>
    <s v="Test39"/>
    <x v="3"/>
    <s v="Bengaluru"/>
    <x v="2"/>
    <x v="11"/>
    <n v="205"/>
    <n v="5"/>
    <n v="0.98"/>
    <n v="1059"/>
    <x v="1"/>
  </r>
  <r>
    <n v="46"/>
    <s v="User40"/>
    <s v="Test40"/>
    <x v="0"/>
    <s v="Mysuru"/>
    <x v="2"/>
    <x v="0"/>
    <n v="385"/>
    <n v="2"/>
    <n v="0.89"/>
    <n v="2602.5"/>
    <x v="1"/>
  </r>
  <r>
    <n v="46"/>
    <s v="User40"/>
    <s v="Test40"/>
    <x v="0"/>
    <s v="Mysuru"/>
    <x v="2"/>
    <x v="1"/>
    <n v="166"/>
    <n v="5"/>
    <n v="0.88"/>
    <n v="1179"/>
    <x v="1"/>
  </r>
  <r>
    <n v="46"/>
    <s v="User40"/>
    <s v="Test40"/>
    <x v="0"/>
    <s v="Mysuru"/>
    <x v="2"/>
    <x v="2"/>
    <n v="320"/>
    <n v="7"/>
    <n v="0.87"/>
    <n v="2180"/>
    <x v="1"/>
  </r>
  <r>
    <n v="46"/>
    <s v="User40"/>
    <s v="Test40"/>
    <x v="0"/>
    <s v="Mysuru"/>
    <x v="2"/>
    <x v="3"/>
    <n v="359"/>
    <n v="3"/>
    <n v="0.88"/>
    <n v="2433.5"/>
    <x v="1"/>
  </r>
  <r>
    <n v="46"/>
    <s v="User40"/>
    <s v="Test40"/>
    <x v="0"/>
    <s v="Mysuru"/>
    <x v="2"/>
    <x v="4"/>
    <n v="236"/>
    <n v="10"/>
    <n v="0.9"/>
    <n v="1634"/>
    <x v="1"/>
  </r>
  <r>
    <n v="46"/>
    <s v="User40"/>
    <s v="Test40"/>
    <x v="0"/>
    <s v="Mysuru"/>
    <x v="2"/>
    <x v="5"/>
    <n v="225"/>
    <n v="5"/>
    <n v="0.85"/>
    <n v="1562.5"/>
    <x v="0"/>
  </r>
  <r>
    <n v="46"/>
    <s v="User40"/>
    <s v="Test40"/>
    <x v="0"/>
    <s v="Mysuru"/>
    <x v="2"/>
    <x v="6"/>
    <n v="360"/>
    <n v="8"/>
    <n v="0.86"/>
    <n v="2440"/>
    <x v="0"/>
  </r>
  <r>
    <n v="46"/>
    <s v="User40"/>
    <s v="Test40"/>
    <x v="0"/>
    <s v="Mysuru"/>
    <x v="2"/>
    <x v="7"/>
    <n v="214"/>
    <n v="8"/>
    <n v="0.96"/>
    <n v="1491"/>
    <x v="1"/>
  </r>
  <r>
    <n v="46"/>
    <s v="User40"/>
    <s v="Test40"/>
    <x v="0"/>
    <s v="Mysuru"/>
    <x v="2"/>
    <x v="8"/>
    <n v="342"/>
    <n v="3"/>
    <n v="0.98"/>
    <n v="2323"/>
    <x v="1"/>
  </r>
  <r>
    <n v="46"/>
    <s v="User40"/>
    <s v="Test40"/>
    <x v="0"/>
    <s v="Mysuru"/>
    <x v="2"/>
    <x v="9"/>
    <n v="382"/>
    <n v="6"/>
    <n v="0.94"/>
    <n v="2583"/>
    <x v="1"/>
  </r>
  <r>
    <n v="46"/>
    <s v="User40"/>
    <s v="Test40"/>
    <x v="0"/>
    <s v="Mysuru"/>
    <x v="2"/>
    <x v="10"/>
    <n v="372"/>
    <n v="8"/>
    <n v="0.99"/>
    <n v="2518"/>
    <x v="0"/>
  </r>
  <r>
    <n v="46"/>
    <s v="User40"/>
    <s v="Test40"/>
    <x v="0"/>
    <s v="Mysuru"/>
    <x v="2"/>
    <x v="11"/>
    <n v="366"/>
    <n v="6"/>
    <n v="0.97"/>
    <n v="2479"/>
    <x v="1"/>
  </r>
  <r>
    <n v="47"/>
    <s v="User41"/>
    <s v="Test41"/>
    <x v="1"/>
    <s v="Chennai"/>
    <x v="4"/>
    <x v="0"/>
    <n v="209"/>
    <n v="9"/>
    <n v="0.89"/>
    <n v="1963.8"/>
    <x v="1"/>
  </r>
  <r>
    <n v="47"/>
    <s v="User41"/>
    <s v="Test41"/>
    <x v="1"/>
    <s v="Chennai"/>
    <x v="4"/>
    <x v="1"/>
    <n v="288"/>
    <n v="5"/>
    <n v="0.86"/>
    <n v="2611.6"/>
    <x v="1"/>
  </r>
  <r>
    <n v="47"/>
    <s v="User41"/>
    <s v="Test41"/>
    <x v="1"/>
    <s v="Chennai"/>
    <x v="4"/>
    <x v="2"/>
    <n v="373"/>
    <n v="8"/>
    <n v="0.93"/>
    <n v="3308.6"/>
    <x v="1"/>
  </r>
  <r>
    <n v="47"/>
    <s v="User41"/>
    <s v="Test41"/>
    <x v="1"/>
    <s v="Chennai"/>
    <x v="4"/>
    <x v="3"/>
    <n v="354"/>
    <n v="4"/>
    <n v="0.85"/>
    <n v="3152.8"/>
    <x v="1"/>
  </r>
  <r>
    <n v="47"/>
    <s v="User41"/>
    <s v="Test41"/>
    <x v="1"/>
    <s v="Chennai"/>
    <x v="4"/>
    <x v="4"/>
    <n v="362"/>
    <n v="4"/>
    <n v="0.85"/>
    <n v="3218.4"/>
    <x v="1"/>
  </r>
  <r>
    <n v="47"/>
    <s v="User41"/>
    <s v="Test41"/>
    <x v="1"/>
    <s v="Chennai"/>
    <x v="4"/>
    <x v="5"/>
    <n v="238"/>
    <n v="8"/>
    <n v="0.86"/>
    <n v="2201.6"/>
    <x v="1"/>
  </r>
  <r>
    <n v="47"/>
    <s v="User41"/>
    <s v="Test41"/>
    <x v="1"/>
    <s v="Chennai"/>
    <x v="4"/>
    <x v="6"/>
    <n v="169"/>
    <n v="10"/>
    <n v="0.89"/>
    <n v="1635.8"/>
    <x v="1"/>
  </r>
  <r>
    <n v="47"/>
    <s v="User41"/>
    <s v="Test41"/>
    <x v="1"/>
    <s v="Chennai"/>
    <x v="4"/>
    <x v="7"/>
    <n v="378"/>
    <n v="3"/>
    <n v="0.98"/>
    <n v="3349.6"/>
    <x v="1"/>
  </r>
  <r>
    <n v="47"/>
    <s v="User41"/>
    <s v="Test41"/>
    <x v="1"/>
    <s v="Chennai"/>
    <x v="4"/>
    <x v="8"/>
    <n v="356"/>
    <n v="8"/>
    <n v="0.91"/>
    <n v="3169.2"/>
    <x v="1"/>
  </r>
  <r>
    <n v="47"/>
    <s v="User41"/>
    <s v="Test41"/>
    <x v="1"/>
    <s v="Chennai"/>
    <x v="4"/>
    <x v="9"/>
    <n v="225"/>
    <n v="8"/>
    <n v="0.9"/>
    <n v="2095"/>
    <x v="1"/>
  </r>
  <r>
    <n v="47"/>
    <s v="User41"/>
    <s v="Test41"/>
    <x v="1"/>
    <s v="Chennai"/>
    <x v="4"/>
    <x v="10"/>
    <n v="188"/>
    <n v="5"/>
    <n v="0.86"/>
    <n v="1791.6"/>
    <x v="0"/>
  </r>
  <r>
    <n v="47"/>
    <s v="User41"/>
    <s v="Test41"/>
    <x v="1"/>
    <s v="Chennai"/>
    <x v="4"/>
    <x v="11"/>
    <n v="391"/>
    <n v="2"/>
    <n v="0.86"/>
    <n v="3456.2"/>
    <x v="1"/>
  </r>
  <r>
    <n v="48"/>
    <s v="User42"/>
    <s v="Test42"/>
    <x v="2"/>
    <s v="Coimbatore"/>
    <x v="4"/>
    <x v="0"/>
    <n v="296"/>
    <n v="10"/>
    <n v="0.9"/>
    <n v="3608"/>
    <x v="1"/>
  </r>
  <r>
    <n v="48"/>
    <s v="User42"/>
    <s v="Test42"/>
    <x v="2"/>
    <s v="Coimbatore"/>
    <x v="4"/>
    <x v="1"/>
    <n v="355"/>
    <n v="8"/>
    <n v="0.88"/>
    <n v="4227.5"/>
    <x v="1"/>
  </r>
  <r>
    <n v="48"/>
    <s v="User42"/>
    <s v="Test42"/>
    <x v="2"/>
    <s v="Coimbatore"/>
    <x v="4"/>
    <x v="2"/>
    <n v="366"/>
    <n v="9"/>
    <n v="0.92"/>
    <n v="4343"/>
    <x v="1"/>
  </r>
  <r>
    <n v="48"/>
    <s v="User42"/>
    <s v="Test42"/>
    <x v="2"/>
    <s v="Coimbatore"/>
    <x v="4"/>
    <x v="3"/>
    <n v="150"/>
    <n v="10"/>
    <n v="0.9"/>
    <n v="2075"/>
    <x v="1"/>
  </r>
  <r>
    <n v="48"/>
    <s v="User42"/>
    <s v="Test42"/>
    <x v="2"/>
    <s v="Coimbatore"/>
    <x v="4"/>
    <x v="4"/>
    <n v="279"/>
    <n v="6"/>
    <n v="0.97"/>
    <n v="3429.5"/>
    <x v="1"/>
  </r>
  <r>
    <n v="48"/>
    <s v="User42"/>
    <s v="Test42"/>
    <x v="2"/>
    <s v="Coimbatore"/>
    <x v="4"/>
    <x v="5"/>
    <n v="241"/>
    <n v="10"/>
    <n v="0.97"/>
    <n v="3030.5"/>
    <x v="1"/>
  </r>
  <r>
    <n v="48"/>
    <s v="User42"/>
    <s v="Test42"/>
    <x v="2"/>
    <s v="Coimbatore"/>
    <x v="4"/>
    <x v="6"/>
    <n v="309"/>
    <n v="2"/>
    <n v="0.99"/>
    <n v="3744.5"/>
    <x v="1"/>
  </r>
  <r>
    <n v="48"/>
    <s v="User42"/>
    <s v="Test42"/>
    <x v="2"/>
    <s v="Coimbatore"/>
    <x v="4"/>
    <x v="7"/>
    <n v="347"/>
    <n v="5"/>
    <n v="0.96"/>
    <n v="4143.5"/>
    <x v="1"/>
  </r>
  <r>
    <n v="48"/>
    <s v="User42"/>
    <s v="Test42"/>
    <x v="2"/>
    <s v="Coimbatore"/>
    <x v="4"/>
    <x v="8"/>
    <n v="255"/>
    <n v="6"/>
    <n v="0.94"/>
    <n v="3177.5"/>
    <x v="1"/>
  </r>
  <r>
    <n v="48"/>
    <s v="User42"/>
    <s v="Test42"/>
    <x v="2"/>
    <s v="Coimbatore"/>
    <x v="4"/>
    <x v="9"/>
    <n v="341"/>
    <n v="6"/>
    <n v="0.96"/>
    <n v="4080.5"/>
    <x v="1"/>
  </r>
  <r>
    <n v="48"/>
    <s v="User42"/>
    <s v="Test42"/>
    <x v="2"/>
    <s v="Coimbatore"/>
    <x v="4"/>
    <x v="10"/>
    <n v="247"/>
    <n v="8"/>
    <n v="0.96"/>
    <n v="3093.5"/>
    <x v="0"/>
  </r>
  <r>
    <n v="48"/>
    <s v="User42"/>
    <s v="Test42"/>
    <x v="2"/>
    <s v="Coimbatore"/>
    <x v="4"/>
    <x v="11"/>
    <n v="290"/>
    <n v="6"/>
    <n v="0.87"/>
    <n v="3545"/>
    <x v="1"/>
  </r>
  <r>
    <n v="49"/>
    <s v="User43"/>
    <s v="Test43"/>
    <x v="3"/>
    <s v="New Delhi"/>
    <x v="5"/>
    <x v="0"/>
    <n v="191"/>
    <n v="8"/>
    <n v="0.91"/>
    <n v="991.8"/>
    <x v="1"/>
  </r>
  <r>
    <n v="49"/>
    <s v="User43"/>
    <s v="Test43"/>
    <x v="3"/>
    <s v="New Delhi"/>
    <x v="5"/>
    <x v="1"/>
    <n v="161"/>
    <n v="6"/>
    <n v="0.91"/>
    <n v="847.8"/>
    <x v="1"/>
  </r>
  <r>
    <n v="49"/>
    <s v="User43"/>
    <s v="Test43"/>
    <x v="3"/>
    <s v="New Delhi"/>
    <x v="5"/>
    <x v="2"/>
    <n v="383"/>
    <n v="4"/>
    <n v="0.96"/>
    <n v="1913.4"/>
    <x v="1"/>
  </r>
  <r>
    <n v="49"/>
    <s v="User43"/>
    <s v="Test43"/>
    <x v="3"/>
    <s v="New Delhi"/>
    <x v="5"/>
    <x v="3"/>
    <n v="287"/>
    <n v="4"/>
    <n v="0.99"/>
    <n v="1452.6"/>
    <x v="1"/>
  </r>
  <r>
    <n v="49"/>
    <s v="User43"/>
    <s v="Test43"/>
    <x v="3"/>
    <s v="New Delhi"/>
    <x v="5"/>
    <x v="4"/>
    <n v="397"/>
    <n v="6"/>
    <n v="0.96"/>
    <n v="1980.6"/>
    <x v="1"/>
  </r>
  <r>
    <n v="49"/>
    <s v="User43"/>
    <s v="Test43"/>
    <x v="3"/>
    <s v="New Delhi"/>
    <x v="5"/>
    <x v="5"/>
    <n v="151"/>
    <n v="6"/>
    <n v="0.92"/>
    <n v="799.8"/>
    <x v="1"/>
  </r>
  <r>
    <n v="49"/>
    <s v="User43"/>
    <s v="Test43"/>
    <x v="3"/>
    <s v="New Delhi"/>
    <x v="5"/>
    <x v="6"/>
    <n v="395"/>
    <n v="9"/>
    <n v="0.92"/>
    <n v="1971"/>
    <x v="1"/>
  </r>
  <r>
    <n v="49"/>
    <s v="User43"/>
    <s v="Test43"/>
    <x v="3"/>
    <s v="New Delhi"/>
    <x v="5"/>
    <x v="7"/>
    <n v="336"/>
    <n v="10"/>
    <n v="0.93"/>
    <n v="1687.8"/>
    <x v="1"/>
  </r>
  <r>
    <n v="49"/>
    <s v="User43"/>
    <s v="Test43"/>
    <x v="3"/>
    <s v="New Delhi"/>
    <x v="5"/>
    <x v="8"/>
    <n v="345"/>
    <n v="7"/>
    <n v="0.96"/>
    <n v="1731"/>
    <x v="1"/>
  </r>
  <r>
    <n v="49"/>
    <s v="User43"/>
    <s v="Test43"/>
    <x v="3"/>
    <s v="New Delhi"/>
    <x v="5"/>
    <x v="9"/>
    <n v="327"/>
    <n v="7"/>
    <n v="0.96"/>
    <n v="1644.6"/>
    <x v="1"/>
  </r>
  <r>
    <n v="49"/>
    <s v="User43"/>
    <s v="Test43"/>
    <x v="3"/>
    <s v="New Delhi"/>
    <x v="5"/>
    <x v="10"/>
    <n v="331"/>
    <n v="3"/>
    <n v="0.85"/>
    <n v="1663.8"/>
    <x v="1"/>
  </r>
  <r>
    <n v="49"/>
    <s v="User43"/>
    <s v="Test43"/>
    <x v="3"/>
    <s v="New Delhi"/>
    <x v="5"/>
    <x v="11"/>
    <n v="393"/>
    <n v="2"/>
    <n v="0.92"/>
    <n v="1961.4"/>
    <x v="1"/>
  </r>
  <r>
    <n v="50"/>
    <s v="User44"/>
    <s v="Test44"/>
    <x v="0"/>
    <s v="Lucknow"/>
    <x v="6"/>
    <x v="0"/>
    <n v="277"/>
    <n v="8"/>
    <n v="0.87"/>
    <n v="1900.5"/>
    <x v="1"/>
  </r>
  <r>
    <n v="50"/>
    <s v="User44"/>
    <s v="Test44"/>
    <x v="0"/>
    <s v="Lucknow"/>
    <x v="6"/>
    <x v="1"/>
    <n v="338"/>
    <n v="6"/>
    <n v="0.99"/>
    <n v="2297"/>
    <x v="0"/>
  </r>
  <r>
    <n v="50"/>
    <s v="User44"/>
    <s v="Test44"/>
    <x v="0"/>
    <s v="Lucknow"/>
    <x v="6"/>
    <x v="2"/>
    <n v="192"/>
    <n v="7"/>
    <n v="0.85"/>
    <n v="1348"/>
    <x v="1"/>
  </r>
  <r>
    <n v="50"/>
    <s v="User44"/>
    <s v="Test44"/>
    <x v="0"/>
    <s v="Lucknow"/>
    <x v="6"/>
    <x v="3"/>
    <n v="235"/>
    <n v="10"/>
    <n v="0.92"/>
    <n v="1627.5"/>
    <x v="1"/>
  </r>
  <r>
    <n v="50"/>
    <s v="User44"/>
    <s v="Test44"/>
    <x v="0"/>
    <s v="Lucknow"/>
    <x v="6"/>
    <x v="4"/>
    <n v="287"/>
    <n v="9"/>
    <n v="0.96"/>
    <n v="1965.5"/>
    <x v="1"/>
  </r>
  <r>
    <n v="50"/>
    <s v="User44"/>
    <s v="Test44"/>
    <x v="0"/>
    <s v="Lucknow"/>
    <x v="6"/>
    <x v="5"/>
    <n v="325"/>
    <n v="10"/>
    <n v="0.92"/>
    <n v="2212.5"/>
    <x v="1"/>
  </r>
  <r>
    <n v="50"/>
    <s v="User44"/>
    <s v="Test44"/>
    <x v="0"/>
    <s v="Lucknow"/>
    <x v="6"/>
    <x v="6"/>
    <n v="163"/>
    <n v="3"/>
    <n v="0.97"/>
    <n v="1159.5"/>
    <x v="1"/>
  </r>
  <r>
    <n v="50"/>
    <s v="User44"/>
    <s v="Test44"/>
    <x v="0"/>
    <s v="Lucknow"/>
    <x v="6"/>
    <x v="7"/>
    <n v="284"/>
    <n v="6"/>
    <n v="0.93"/>
    <n v="1946"/>
    <x v="1"/>
  </r>
  <r>
    <n v="50"/>
    <s v="User44"/>
    <s v="Test44"/>
    <x v="0"/>
    <s v="Lucknow"/>
    <x v="6"/>
    <x v="8"/>
    <n v="189"/>
    <n v="10"/>
    <n v="0.87"/>
    <n v="1328.5"/>
    <x v="1"/>
  </r>
  <r>
    <n v="50"/>
    <s v="User44"/>
    <s v="Test44"/>
    <x v="0"/>
    <s v="Lucknow"/>
    <x v="6"/>
    <x v="9"/>
    <n v="258"/>
    <n v="7"/>
    <n v="0.87"/>
    <n v="1777"/>
    <x v="1"/>
  </r>
  <r>
    <n v="50"/>
    <s v="User44"/>
    <s v="Test44"/>
    <x v="0"/>
    <s v="Lucknow"/>
    <x v="6"/>
    <x v="10"/>
    <n v="191"/>
    <n v="3"/>
    <n v="0.9"/>
    <n v="1341.5"/>
    <x v="1"/>
  </r>
  <r>
    <n v="50"/>
    <s v="User44"/>
    <s v="Test44"/>
    <x v="0"/>
    <s v="Lucknow"/>
    <x v="6"/>
    <x v="11"/>
    <n v="365"/>
    <n v="2"/>
    <n v="0.98"/>
    <n v="2472.5"/>
    <x v="1"/>
  </r>
  <r>
    <n v="51"/>
    <s v="User45"/>
    <s v="Test45"/>
    <x v="1"/>
    <s v="Mumbai"/>
    <x v="0"/>
    <x v="0"/>
    <n v="288"/>
    <n v="6"/>
    <n v="0.88"/>
    <n v="2611.6"/>
    <x v="1"/>
  </r>
  <r>
    <n v="51"/>
    <s v="User45"/>
    <s v="Test45"/>
    <x v="1"/>
    <s v="Mumbai"/>
    <x v="0"/>
    <x v="1"/>
    <n v="287"/>
    <n v="2"/>
    <n v="0.92"/>
    <n v="2603.4"/>
    <x v="1"/>
  </r>
  <r>
    <n v="51"/>
    <s v="User45"/>
    <s v="Test45"/>
    <x v="1"/>
    <s v="Mumbai"/>
    <x v="0"/>
    <x v="2"/>
    <n v="375"/>
    <n v="5"/>
    <n v="0.92"/>
    <n v="3325"/>
    <x v="0"/>
  </r>
  <r>
    <n v="51"/>
    <s v="User45"/>
    <s v="Test45"/>
    <x v="1"/>
    <s v="Mumbai"/>
    <x v="0"/>
    <x v="3"/>
    <n v="198"/>
    <n v="10"/>
    <n v="0.88"/>
    <n v="1873.6"/>
    <x v="1"/>
  </r>
  <r>
    <n v="51"/>
    <s v="User45"/>
    <s v="Test45"/>
    <x v="1"/>
    <s v="Mumbai"/>
    <x v="0"/>
    <x v="4"/>
    <n v="332"/>
    <n v="8"/>
    <n v="0.94"/>
    <n v="2972.4"/>
    <x v="1"/>
  </r>
  <r>
    <n v="51"/>
    <s v="User45"/>
    <s v="Test45"/>
    <x v="1"/>
    <s v="Mumbai"/>
    <x v="0"/>
    <x v="5"/>
    <n v="249"/>
    <n v="4"/>
    <n v="0.89"/>
    <n v="2291.8000000000002"/>
    <x v="1"/>
  </r>
  <r>
    <n v="51"/>
    <s v="User45"/>
    <s v="Test45"/>
    <x v="1"/>
    <s v="Mumbai"/>
    <x v="0"/>
    <x v="6"/>
    <n v="345"/>
    <n v="7"/>
    <n v="0.89"/>
    <n v="3079"/>
    <x v="0"/>
  </r>
  <r>
    <n v="51"/>
    <s v="User45"/>
    <s v="Test45"/>
    <x v="1"/>
    <s v="Mumbai"/>
    <x v="0"/>
    <x v="7"/>
    <n v="342"/>
    <n v="5"/>
    <n v="0.95"/>
    <n v="3054.4"/>
    <x v="1"/>
  </r>
  <r>
    <n v="51"/>
    <s v="User45"/>
    <s v="Test45"/>
    <x v="1"/>
    <s v="Mumbai"/>
    <x v="0"/>
    <x v="8"/>
    <n v="206"/>
    <n v="10"/>
    <n v="0.92"/>
    <n v="1939.2"/>
    <x v="1"/>
  </r>
  <r>
    <n v="51"/>
    <s v="User45"/>
    <s v="Test45"/>
    <x v="1"/>
    <s v="Mumbai"/>
    <x v="0"/>
    <x v="9"/>
    <n v="315"/>
    <n v="4"/>
    <n v="0.98"/>
    <n v="2833"/>
    <x v="1"/>
  </r>
  <r>
    <n v="51"/>
    <s v="User45"/>
    <s v="Test45"/>
    <x v="1"/>
    <s v="Mumbai"/>
    <x v="0"/>
    <x v="10"/>
    <n v="203"/>
    <n v="6"/>
    <n v="0.93"/>
    <n v="1914.6"/>
    <x v="1"/>
  </r>
  <r>
    <n v="51"/>
    <s v="User45"/>
    <s v="Test45"/>
    <x v="1"/>
    <s v="Mumbai"/>
    <x v="0"/>
    <x v="11"/>
    <n v="171"/>
    <n v="3"/>
    <n v="0.89"/>
    <n v="1652.2"/>
    <x v="1"/>
  </r>
  <r>
    <n v="52"/>
    <s v="User46"/>
    <s v="Test46"/>
    <x v="2"/>
    <s v="Pune"/>
    <x v="0"/>
    <x v="0"/>
    <n v="230"/>
    <n v="9"/>
    <n v="0.9"/>
    <n v="2915"/>
    <x v="1"/>
  </r>
  <r>
    <n v="52"/>
    <s v="User46"/>
    <s v="Test46"/>
    <x v="2"/>
    <s v="Pune"/>
    <x v="0"/>
    <x v="1"/>
    <n v="366"/>
    <n v="4"/>
    <n v="0.97"/>
    <n v="4343"/>
    <x v="1"/>
  </r>
  <r>
    <n v="52"/>
    <s v="User46"/>
    <s v="Test46"/>
    <x v="2"/>
    <s v="Pune"/>
    <x v="0"/>
    <x v="2"/>
    <n v="345"/>
    <n v="4"/>
    <n v="0.99"/>
    <n v="4122.5"/>
    <x v="1"/>
  </r>
  <r>
    <n v="52"/>
    <s v="User46"/>
    <s v="Test46"/>
    <x v="2"/>
    <s v="Pune"/>
    <x v="0"/>
    <x v="3"/>
    <n v="249"/>
    <n v="9"/>
    <n v="0.86"/>
    <n v="3114.5"/>
    <x v="1"/>
  </r>
  <r>
    <n v="52"/>
    <s v="User46"/>
    <s v="Test46"/>
    <x v="2"/>
    <s v="Pune"/>
    <x v="0"/>
    <x v="4"/>
    <n v="164"/>
    <n v="8"/>
    <n v="0.92"/>
    <n v="2222"/>
    <x v="1"/>
  </r>
  <r>
    <n v="52"/>
    <s v="User46"/>
    <s v="Test46"/>
    <x v="2"/>
    <s v="Pune"/>
    <x v="0"/>
    <x v="5"/>
    <n v="241"/>
    <n v="2"/>
    <n v="0.9"/>
    <n v="3030.5"/>
    <x v="1"/>
  </r>
  <r>
    <n v="52"/>
    <s v="User46"/>
    <s v="Test46"/>
    <x v="2"/>
    <s v="Pune"/>
    <x v="0"/>
    <x v="6"/>
    <n v="245"/>
    <n v="4"/>
    <n v="0.97"/>
    <n v="3072.5"/>
    <x v="1"/>
  </r>
  <r>
    <n v="52"/>
    <s v="User46"/>
    <s v="Test46"/>
    <x v="2"/>
    <s v="Pune"/>
    <x v="0"/>
    <x v="7"/>
    <n v="388"/>
    <n v="4"/>
    <n v="0.94"/>
    <n v="4574"/>
    <x v="1"/>
  </r>
  <r>
    <n v="52"/>
    <s v="User46"/>
    <s v="Test46"/>
    <x v="2"/>
    <s v="Pune"/>
    <x v="0"/>
    <x v="8"/>
    <n v="380"/>
    <n v="5"/>
    <n v="0.9"/>
    <n v="4490"/>
    <x v="0"/>
  </r>
  <r>
    <n v="52"/>
    <s v="User46"/>
    <s v="Test46"/>
    <x v="2"/>
    <s v="Pune"/>
    <x v="0"/>
    <x v="9"/>
    <n v="260"/>
    <n v="2"/>
    <n v="0.93"/>
    <n v="3230"/>
    <x v="1"/>
  </r>
  <r>
    <n v="52"/>
    <s v="User46"/>
    <s v="Test46"/>
    <x v="2"/>
    <s v="Pune"/>
    <x v="0"/>
    <x v="10"/>
    <n v="341"/>
    <n v="9"/>
    <n v="0.94"/>
    <n v="4080.5"/>
    <x v="1"/>
  </r>
  <r>
    <n v="52"/>
    <s v="User46"/>
    <s v="Test46"/>
    <x v="2"/>
    <s v="Pune"/>
    <x v="0"/>
    <x v="11"/>
    <n v="150"/>
    <n v="3"/>
    <n v="0.89"/>
    <n v="2075"/>
    <x v="1"/>
  </r>
  <r>
    <n v="53"/>
    <s v="User47"/>
    <s v="Test47"/>
    <x v="3"/>
    <s v="Nagpur"/>
    <x v="0"/>
    <x v="0"/>
    <n v="237"/>
    <n v="7"/>
    <n v="0.95"/>
    <n v="1212.5999999999999"/>
    <x v="1"/>
  </r>
  <r>
    <n v="53"/>
    <s v="User47"/>
    <s v="Test47"/>
    <x v="3"/>
    <s v="Nagpur"/>
    <x v="0"/>
    <x v="1"/>
    <n v="381"/>
    <n v="7"/>
    <n v="0.85"/>
    <n v="1903.8"/>
    <x v="1"/>
  </r>
  <r>
    <n v="53"/>
    <s v="User47"/>
    <s v="Test47"/>
    <x v="3"/>
    <s v="Nagpur"/>
    <x v="0"/>
    <x v="2"/>
    <n v="284"/>
    <n v="7"/>
    <n v="0.91"/>
    <n v="1438.2"/>
    <x v="1"/>
  </r>
  <r>
    <n v="53"/>
    <s v="User47"/>
    <s v="Test47"/>
    <x v="3"/>
    <s v="Nagpur"/>
    <x v="0"/>
    <x v="3"/>
    <n v="190"/>
    <n v="9"/>
    <n v="0.86"/>
    <n v="987"/>
    <x v="1"/>
  </r>
  <r>
    <n v="53"/>
    <s v="User47"/>
    <s v="Test47"/>
    <x v="3"/>
    <s v="Nagpur"/>
    <x v="0"/>
    <x v="4"/>
    <n v="289"/>
    <n v="9"/>
    <n v="0.93"/>
    <n v="1462.2"/>
    <x v="1"/>
  </r>
  <r>
    <n v="53"/>
    <s v="User47"/>
    <s v="Test47"/>
    <x v="3"/>
    <s v="Nagpur"/>
    <x v="0"/>
    <x v="5"/>
    <n v="267"/>
    <n v="5"/>
    <n v="0.96"/>
    <n v="1356.6"/>
    <x v="1"/>
  </r>
  <r>
    <n v="53"/>
    <s v="User47"/>
    <s v="Test47"/>
    <x v="3"/>
    <s v="Nagpur"/>
    <x v="0"/>
    <x v="6"/>
    <n v="308"/>
    <n v="9"/>
    <n v="0.98"/>
    <n v="1553.4"/>
    <x v="1"/>
  </r>
  <r>
    <n v="53"/>
    <s v="User47"/>
    <s v="Test47"/>
    <x v="3"/>
    <s v="Nagpur"/>
    <x v="0"/>
    <x v="7"/>
    <n v="170"/>
    <n v="8"/>
    <n v="0.95"/>
    <n v="891"/>
    <x v="1"/>
  </r>
  <r>
    <n v="53"/>
    <s v="User47"/>
    <s v="Test47"/>
    <x v="3"/>
    <s v="Nagpur"/>
    <x v="0"/>
    <x v="8"/>
    <n v="239"/>
    <n v="2"/>
    <n v="0.89"/>
    <n v="1222.2"/>
    <x v="1"/>
  </r>
  <r>
    <n v="53"/>
    <s v="User47"/>
    <s v="Test47"/>
    <x v="3"/>
    <s v="Nagpur"/>
    <x v="0"/>
    <x v="9"/>
    <n v="399"/>
    <n v="8"/>
    <n v="0.97"/>
    <n v="1990.2"/>
    <x v="1"/>
  </r>
  <r>
    <n v="53"/>
    <s v="User47"/>
    <s v="Test47"/>
    <x v="3"/>
    <s v="Nagpur"/>
    <x v="0"/>
    <x v="10"/>
    <n v="310"/>
    <n v="7"/>
    <n v="0.85"/>
    <n v="1563"/>
    <x v="0"/>
  </r>
  <r>
    <n v="53"/>
    <s v="User47"/>
    <s v="Test47"/>
    <x v="3"/>
    <s v="Nagpur"/>
    <x v="0"/>
    <x v="11"/>
    <n v="157"/>
    <n v="2"/>
    <n v="0.99"/>
    <n v="828.6"/>
    <x v="1"/>
  </r>
  <r>
    <n v="54"/>
    <s v="User48"/>
    <s v="Test48"/>
    <x v="0"/>
    <s v="Ahmedabad"/>
    <x v="1"/>
    <x v="0"/>
    <n v="347"/>
    <n v="8"/>
    <n v="0.93"/>
    <n v="2355.5"/>
    <x v="1"/>
  </r>
  <r>
    <n v="54"/>
    <s v="User48"/>
    <s v="Test48"/>
    <x v="0"/>
    <s v="Ahmedabad"/>
    <x v="1"/>
    <x v="1"/>
    <n v="200"/>
    <n v="5"/>
    <n v="0.98"/>
    <n v="1400"/>
    <x v="1"/>
  </r>
  <r>
    <n v="54"/>
    <s v="User48"/>
    <s v="Test48"/>
    <x v="0"/>
    <s v="Ahmedabad"/>
    <x v="1"/>
    <x v="2"/>
    <n v="228"/>
    <n v="9"/>
    <n v="0.92"/>
    <n v="1582"/>
    <x v="0"/>
  </r>
  <r>
    <n v="54"/>
    <s v="User48"/>
    <s v="Test48"/>
    <x v="0"/>
    <s v="Ahmedabad"/>
    <x v="1"/>
    <x v="3"/>
    <n v="351"/>
    <n v="3"/>
    <n v="0.88"/>
    <n v="2381.5"/>
    <x v="1"/>
  </r>
  <r>
    <n v="54"/>
    <s v="User48"/>
    <s v="Test48"/>
    <x v="0"/>
    <s v="Ahmedabad"/>
    <x v="1"/>
    <x v="4"/>
    <n v="320"/>
    <n v="4"/>
    <n v="0.99"/>
    <n v="2180"/>
    <x v="1"/>
  </r>
  <r>
    <n v="54"/>
    <s v="User48"/>
    <s v="Test48"/>
    <x v="0"/>
    <s v="Ahmedabad"/>
    <x v="1"/>
    <x v="5"/>
    <n v="214"/>
    <n v="7"/>
    <n v="0.96"/>
    <n v="1491"/>
    <x v="1"/>
  </r>
  <r>
    <n v="54"/>
    <s v="User48"/>
    <s v="Test48"/>
    <x v="0"/>
    <s v="Ahmedabad"/>
    <x v="1"/>
    <x v="6"/>
    <n v="288"/>
    <n v="5"/>
    <n v="0.99"/>
    <n v="1972"/>
    <x v="1"/>
  </r>
  <r>
    <n v="54"/>
    <s v="User48"/>
    <s v="Test48"/>
    <x v="0"/>
    <s v="Ahmedabad"/>
    <x v="1"/>
    <x v="7"/>
    <n v="341"/>
    <n v="8"/>
    <n v="0.99"/>
    <n v="2316.5"/>
    <x v="1"/>
  </r>
  <r>
    <n v="54"/>
    <s v="User48"/>
    <s v="Test48"/>
    <x v="0"/>
    <s v="Ahmedabad"/>
    <x v="1"/>
    <x v="8"/>
    <n v="315"/>
    <n v="8"/>
    <n v="0.96"/>
    <n v="2147.5"/>
    <x v="1"/>
  </r>
  <r>
    <n v="54"/>
    <s v="User48"/>
    <s v="Test48"/>
    <x v="0"/>
    <s v="Ahmedabad"/>
    <x v="1"/>
    <x v="9"/>
    <n v="378"/>
    <n v="2"/>
    <n v="0.93"/>
    <n v="2557"/>
    <x v="1"/>
  </r>
  <r>
    <n v="54"/>
    <s v="User48"/>
    <s v="Test48"/>
    <x v="0"/>
    <s v="Ahmedabad"/>
    <x v="1"/>
    <x v="10"/>
    <n v="236"/>
    <n v="5"/>
    <n v="0.95"/>
    <n v="1634"/>
    <x v="1"/>
  </r>
  <r>
    <n v="54"/>
    <s v="User48"/>
    <s v="Test48"/>
    <x v="0"/>
    <s v="Ahmedabad"/>
    <x v="1"/>
    <x v="11"/>
    <n v="178"/>
    <n v="6"/>
    <n v="0.98"/>
    <n v="1257"/>
    <x v="1"/>
  </r>
  <r>
    <n v="55"/>
    <s v="User49"/>
    <s v="Test49"/>
    <x v="1"/>
    <s v="Surat"/>
    <x v="1"/>
    <x v="0"/>
    <n v="221"/>
    <n v="10"/>
    <n v="0.96"/>
    <n v="2062.1999999999998"/>
    <x v="1"/>
  </r>
  <r>
    <n v="55"/>
    <s v="User49"/>
    <s v="Test49"/>
    <x v="1"/>
    <s v="Surat"/>
    <x v="1"/>
    <x v="1"/>
    <n v="320"/>
    <n v="10"/>
    <n v="0.94"/>
    <n v="2874"/>
    <x v="0"/>
  </r>
  <r>
    <n v="55"/>
    <s v="User49"/>
    <s v="Test49"/>
    <x v="1"/>
    <s v="Surat"/>
    <x v="1"/>
    <x v="2"/>
    <n v="284"/>
    <n v="2"/>
    <n v="0.91"/>
    <n v="2578.8000000000002"/>
    <x v="1"/>
  </r>
  <r>
    <n v="55"/>
    <s v="User49"/>
    <s v="Test49"/>
    <x v="1"/>
    <s v="Surat"/>
    <x v="1"/>
    <x v="3"/>
    <n v="227"/>
    <n v="2"/>
    <n v="0.98"/>
    <n v="2111.4"/>
    <x v="1"/>
  </r>
  <r>
    <n v="55"/>
    <s v="User49"/>
    <s v="Test49"/>
    <x v="1"/>
    <s v="Surat"/>
    <x v="1"/>
    <x v="4"/>
    <n v="181"/>
    <n v="4"/>
    <n v="0.94"/>
    <n v="1734.2"/>
    <x v="1"/>
  </r>
  <r>
    <n v="55"/>
    <s v="User49"/>
    <s v="Test49"/>
    <x v="1"/>
    <s v="Surat"/>
    <x v="1"/>
    <x v="5"/>
    <n v="266"/>
    <n v="10"/>
    <n v="0.92"/>
    <n v="2431.1999999999998"/>
    <x v="1"/>
  </r>
  <r>
    <n v="55"/>
    <s v="User49"/>
    <s v="Test49"/>
    <x v="1"/>
    <s v="Surat"/>
    <x v="1"/>
    <x v="6"/>
    <n v="391"/>
    <n v="6"/>
    <n v="0.89"/>
    <n v="3456.2"/>
    <x v="1"/>
  </r>
  <r>
    <n v="55"/>
    <s v="User49"/>
    <s v="Test49"/>
    <x v="1"/>
    <s v="Surat"/>
    <x v="1"/>
    <x v="7"/>
    <n v="201"/>
    <n v="3"/>
    <n v="0.87"/>
    <n v="1898.2"/>
    <x v="1"/>
  </r>
  <r>
    <n v="55"/>
    <s v="User49"/>
    <s v="Test49"/>
    <x v="1"/>
    <s v="Surat"/>
    <x v="1"/>
    <x v="8"/>
    <n v="174"/>
    <n v="9"/>
    <n v="0.88"/>
    <n v="1676.8"/>
    <x v="1"/>
  </r>
  <r>
    <n v="55"/>
    <s v="User49"/>
    <s v="Test49"/>
    <x v="1"/>
    <s v="Surat"/>
    <x v="1"/>
    <x v="9"/>
    <n v="336"/>
    <n v="10"/>
    <n v="0.93"/>
    <n v="3005.2"/>
    <x v="1"/>
  </r>
  <r>
    <n v="55"/>
    <s v="User49"/>
    <s v="Test49"/>
    <x v="1"/>
    <s v="Surat"/>
    <x v="1"/>
    <x v="10"/>
    <n v="259"/>
    <n v="6"/>
    <n v="0.96"/>
    <n v="2373.8000000000002"/>
    <x v="1"/>
  </r>
  <r>
    <n v="55"/>
    <s v="User49"/>
    <s v="Test49"/>
    <x v="1"/>
    <s v="Surat"/>
    <x v="1"/>
    <x v="11"/>
    <n v="390"/>
    <n v="5"/>
    <n v="0.86"/>
    <n v="3448"/>
    <x v="1"/>
  </r>
  <r>
    <n v="56"/>
    <s v="User50"/>
    <s v="Test50"/>
    <x v="2"/>
    <s v="Vadodara"/>
    <x v="1"/>
    <x v="0"/>
    <n v="249"/>
    <n v="7"/>
    <n v="0.92"/>
    <n v="3114.5"/>
    <x v="0"/>
  </r>
  <r>
    <n v="56"/>
    <s v="User50"/>
    <s v="Test50"/>
    <x v="2"/>
    <s v="Vadodara"/>
    <x v="1"/>
    <x v="1"/>
    <n v="183"/>
    <n v="10"/>
    <n v="0.88"/>
    <n v="2421.5"/>
    <x v="1"/>
  </r>
  <r>
    <n v="56"/>
    <s v="User50"/>
    <s v="Test50"/>
    <x v="2"/>
    <s v="Vadodara"/>
    <x v="1"/>
    <x v="2"/>
    <n v="336"/>
    <n v="6"/>
    <n v="0.86"/>
    <n v="4028"/>
    <x v="1"/>
  </r>
  <r>
    <n v="56"/>
    <s v="User50"/>
    <s v="Test50"/>
    <x v="2"/>
    <s v="Vadodara"/>
    <x v="1"/>
    <x v="3"/>
    <n v="341"/>
    <n v="4"/>
    <n v="0.86"/>
    <n v="4080.5"/>
    <x v="0"/>
  </r>
  <r>
    <n v="56"/>
    <s v="User50"/>
    <s v="Test50"/>
    <x v="2"/>
    <s v="Vadodara"/>
    <x v="1"/>
    <x v="4"/>
    <n v="341"/>
    <n v="6"/>
    <n v="0.95"/>
    <n v="4080.5"/>
    <x v="1"/>
  </r>
  <r>
    <n v="56"/>
    <s v="User50"/>
    <s v="Test50"/>
    <x v="2"/>
    <s v="Vadodara"/>
    <x v="1"/>
    <x v="5"/>
    <n v="162"/>
    <n v="3"/>
    <n v="0.94"/>
    <n v="2201"/>
    <x v="0"/>
  </r>
  <r>
    <n v="56"/>
    <s v="User50"/>
    <s v="Test50"/>
    <x v="2"/>
    <s v="Vadodara"/>
    <x v="1"/>
    <x v="6"/>
    <n v="182"/>
    <n v="8"/>
    <n v="0.98"/>
    <n v="2411"/>
    <x v="1"/>
  </r>
  <r>
    <n v="56"/>
    <s v="User50"/>
    <s v="Test50"/>
    <x v="2"/>
    <s v="Vadodara"/>
    <x v="1"/>
    <x v="7"/>
    <n v="157"/>
    <n v="8"/>
    <n v="0.92"/>
    <n v="2148.5"/>
    <x v="1"/>
  </r>
  <r>
    <n v="56"/>
    <s v="User50"/>
    <s v="Test50"/>
    <x v="2"/>
    <s v="Vadodara"/>
    <x v="1"/>
    <x v="8"/>
    <n v="329"/>
    <n v="7"/>
    <n v="0.88"/>
    <n v="3954.5"/>
    <x v="1"/>
  </r>
  <r>
    <n v="56"/>
    <s v="User50"/>
    <s v="Test50"/>
    <x v="2"/>
    <s v="Vadodara"/>
    <x v="1"/>
    <x v="9"/>
    <n v="341"/>
    <n v="10"/>
    <n v="0.95"/>
    <n v="4080.5"/>
    <x v="1"/>
  </r>
  <r>
    <n v="56"/>
    <s v="User50"/>
    <s v="Test50"/>
    <x v="2"/>
    <s v="Vadodara"/>
    <x v="1"/>
    <x v="10"/>
    <n v="294"/>
    <n v="6"/>
    <n v="0.94"/>
    <n v="3587"/>
    <x v="0"/>
  </r>
  <r>
    <n v="56"/>
    <s v="User50"/>
    <s v="Test50"/>
    <x v="2"/>
    <s v="Vadodara"/>
    <x v="1"/>
    <x v="11"/>
    <n v="254"/>
    <n v="9"/>
    <n v="0.91"/>
    <n v="3167"/>
    <x v="1"/>
  </r>
  <r>
    <n v="57"/>
    <s v="User51"/>
    <s v="Test51"/>
    <x v="3"/>
    <s v="Jaipur"/>
    <x v="3"/>
    <x v="0"/>
    <n v="150"/>
    <n v="5"/>
    <n v="0.9"/>
    <n v="795"/>
    <x v="0"/>
  </r>
  <r>
    <n v="57"/>
    <s v="User51"/>
    <s v="Test51"/>
    <x v="3"/>
    <s v="Jaipur"/>
    <x v="3"/>
    <x v="1"/>
    <n v="396"/>
    <n v="4"/>
    <n v="0.95"/>
    <n v="1975.8"/>
    <x v="1"/>
  </r>
  <r>
    <n v="57"/>
    <s v="User51"/>
    <s v="Test51"/>
    <x v="3"/>
    <s v="Jaipur"/>
    <x v="3"/>
    <x v="2"/>
    <n v="230"/>
    <n v="2"/>
    <n v="0.92"/>
    <n v="1179"/>
    <x v="0"/>
  </r>
  <r>
    <n v="57"/>
    <s v="User51"/>
    <s v="Test51"/>
    <x v="3"/>
    <s v="Jaipur"/>
    <x v="3"/>
    <x v="3"/>
    <n v="220"/>
    <n v="2"/>
    <n v="0.86"/>
    <n v="1131"/>
    <x v="1"/>
  </r>
  <r>
    <n v="57"/>
    <s v="User51"/>
    <s v="Test51"/>
    <x v="3"/>
    <s v="Jaipur"/>
    <x v="3"/>
    <x v="4"/>
    <n v="347"/>
    <n v="10"/>
    <n v="0.98"/>
    <n v="1740.6"/>
    <x v="1"/>
  </r>
  <r>
    <n v="57"/>
    <s v="User51"/>
    <s v="Test51"/>
    <x v="3"/>
    <s v="Jaipur"/>
    <x v="3"/>
    <x v="5"/>
    <n v="351"/>
    <n v="8"/>
    <n v="0.97"/>
    <n v="1759.8"/>
    <x v="1"/>
  </r>
  <r>
    <n v="57"/>
    <s v="User51"/>
    <s v="Test51"/>
    <x v="3"/>
    <s v="Jaipur"/>
    <x v="3"/>
    <x v="6"/>
    <n v="284"/>
    <n v="6"/>
    <n v="0.9"/>
    <n v="1438.2"/>
    <x v="1"/>
  </r>
  <r>
    <n v="57"/>
    <s v="User51"/>
    <s v="Test51"/>
    <x v="3"/>
    <s v="Jaipur"/>
    <x v="3"/>
    <x v="7"/>
    <n v="307"/>
    <n v="2"/>
    <n v="0.87"/>
    <n v="1548.6"/>
    <x v="1"/>
  </r>
  <r>
    <n v="57"/>
    <s v="User51"/>
    <s v="Test51"/>
    <x v="3"/>
    <s v="Jaipur"/>
    <x v="3"/>
    <x v="8"/>
    <n v="391"/>
    <n v="3"/>
    <n v="0.97"/>
    <n v="1951.8"/>
    <x v="1"/>
  </r>
  <r>
    <n v="57"/>
    <s v="User51"/>
    <s v="Test51"/>
    <x v="3"/>
    <s v="Jaipur"/>
    <x v="3"/>
    <x v="9"/>
    <n v="316"/>
    <n v="9"/>
    <n v="0.92"/>
    <n v="1591.8"/>
    <x v="1"/>
  </r>
  <r>
    <n v="57"/>
    <s v="User51"/>
    <s v="Test51"/>
    <x v="3"/>
    <s v="Jaipur"/>
    <x v="3"/>
    <x v="10"/>
    <n v="160"/>
    <n v="4"/>
    <n v="0.85"/>
    <n v="843"/>
    <x v="1"/>
  </r>
  <r>
    <n v="57"/>
    <s v="User51"/>
    <s v="Test51"/>
    <x v="3"/>
    <s v="Jaipur"/>
    <x v="3"/>
    <x v="11"/>
    <n v="237"/>
    <n v="8"/>
    <n v="0.95"/>
    <n v="1212.5999999999999"/>
    <x v="1"/>
  </r>
  <r>
    <n v="58"/>
    <s v="User52"/>
    <s v="Test52"/>
    <x v="0"/>
    <s v="Udaipur"/>
    <x v="3"/>
    <x v="0"/>
    <n v="357"/>
    <n v="7"/>
    <n v="0.89"/>
    <n v="2420.5"/>
    <x v="1"/>
  </r>
  <r>
    <n v="58"/>
    <s v="User52"/>
    <s v="Test52"/>
    <x v="0"/>
    <s v="Udaipur"/>
    <x v="3"/>
    <x v="1"/>
    <n v="249"/>
    <n v="7"/>
    <n v="0.89"/>
    <n v="1718.5"/>
    <x v="0"/>
  </r>
  <r>
    <n v="58"/>
    <s v="User52"/>
    <s v="Test52"/>
    <x v="0"/>
    <s v="Udaipur"/>
    <x v="3"/>
    <x v="2"/>
    <n v="360"/>
    <n v="7"/>
    <n v="0.94"/>
    <n v="2440"/>
    <x v="1"/>
  </r>
  <r>
    <n v="58"/>
    <s v="User52"/>
    <s v="Test52"/>
    <x v="0"/>
    <s v="Udaipur"/>
    <x v="3"/>
    <x v="3"/>
    <n v="164"/>
    <n v="7"/>
    <n v="0.88"/>
    <n v="1166"/>
    <x v="1"/>
  </r>
  <r>
    <n v="58"/>
    <s v="User52"/>
    <s v="Test52"/>
    <x v="0"/>
    <s v="Udaipur"/>
    <x v="3"/>
    <x v="4"/>
    <n v="196"/>
    <n v="2"/>
    <n v="0.96"/>
    <n v="1374"/>
    <x v="1"/>
  </r>
  <r>
    <n v="58"/>
    <s v="User52"/>
    <s v="Test52"/>
    <x v="0"/>
    <s v="Udaipur"/>
    <x v="3"/>
    <x v="5"/>
    <n v="298"/>
    <n v="5"/>
    <n v="0.98"/>
    <n v="2037"/>
    <x v="0"/>
  </r>
  <r>
    <n v="58"/>
    <s v="User52"/>
    <s v="Test52"/>
    <x v="0"/>
    <s v="Udaipur"/>
    <x v="3"/>
    <x v="6"/>
    <n v="335"/>
    <n v="3"/>
    <n v="0.87"/>
    <n v="2277.5"/>
    <x v="1"/>
  </r>
  <r>
    <n v="58"/>
    <s v="User52"/>
    <s v="Test52"/>
    <x v="0"/>
    <s v="Udaipur"/>
    <x v="3"/>
    <x v="7"/>
    <n v="317"/>
    <n v="7"/>
    <n v="0.98"/>
    <n v="2160.5"/>
    <x v="1"/>
  </r>
  <r>
    <n v="58"/>
    <s v="User52"/>
    <s v="Test52"/>
    <x v="0"/>
    <s v="Udaipur"/>
    <x v="3"/>
    <x v="8"/>
    <n v="277"/>
    <n v="7"/>
    <n v="0.94"/>
    <n v="1900.5"/>
    <x v="1"/>
  </r>
  <r>
    <n v="58"/>
    <s v="User52"/>
    <s v="Test52"/>
    <x v="0"/>
    <s v="Udaipur"/>
    <x v="3"/>
    <x v="9"/>
    <n v="297"/>
    <n v="10"/>
    <n v="0.89"/>
    <n v="2030.5"/>
    <x v="0"/>
  </r>
  <r>
    <n v="58"/>
    <s v="User52"/>
    <s v="Test52"/>
    <x v="0"/>
    <s v="Udaipur"/>
    <x v="3"/>
    <x v="10"/>
    <n v="333"/>
    <n v="7"/>
    <n v="0.94"/>
    <n v="2264.5"/>
    <x v="1"/>
  </r>
  <r>
    <n v="58"/>
    <s v="User52"/>
    <s v="Test52"/>
    <x v="0"/>
    <s v="Udaipur"/>
    <x v="3"/>
    <x v="11"/>
    <n v="351"/>
    <n v="8"/>
    <n v="0.87"/>
    <n v="2381.5"/>
    <x v="1"/>
  </r>
  <r>
    <n v="59"/>
    <s v="User53"/>
    <s v="Test53"/>
    <x v="1"/>
    <s v="Jodhpur"/>
    <x v="3"/>
    <x v="0"/>
    <n v="373"/>
    <n v="2"/>
    <n v="0.94"/>
    <n v="3308.6"/>
    <x v="1"/>
  </r>
  <r>
    <n v="59"/>
    <s v="User53"/>
    <s v="Test53"/>
    <x v="1"/>
    <s v="Jodhpur"/>
    <x v="3"/>
    <x v="1"/>
    <n v="231"/>
    <n v="8"/>
    <n v="0.93"/>
    <n v="2144.1999999999998"/>
    <x v="1"/>
  </r>
  <r>
    <n v="59"/>
    <s v="User53"/>
    <s v="Test53"/>
    <x v="1"/>
    <s v="Jodhpur"/>
    <x v="3"/>
    <x v="2"/>
    <n v="310"/>
    <n v="7"/>
    <n v="0.9"/>
    <n v="2792"/>
    <x v="1"/>
  </r>
  <r>
    <n v="59"/>
    <s v="User53"/>
    <s v="Test53"/>
    <x v="1"/>
    <s v="Jodhpur"/>
    <x v="3"/>
    <x v="3"/>
    <n v="262"/>
    <n v="9"/>
    <n v="0.85"/>
    <n v="2398.4"/>
    <x v="1"/>
  </r>
  <r>
    <n v="59"/>
    <s v="User53"/>
    <s v="Test53"/>
    <x v="1"/>
    <s v="Jodhpur"/>
    <x v="3"/>
    <x v="4"/>
    <n v="236"/>
    <n v="3"/>
    <n v="0.98"/>
    <n v="2185.1999999999998"/>
    <x v="1"/>
  </r>
  <r>
    <n v="59"/>
    <s v="User53"/>
    <s v="Test53"/>
    <x v="1"/>
    <s v="Jodhpur"/>
    <x v="3"/>
    <x v="5"/>
    <n v="278"/>
    <n v="6"/>
    <n v="0.94"/>
    <n v="2529.6"/>
    <x v="1"/>
  </r>
  <r>
    <n v="59"/>
    <s v="User53"/>
    <s v="Test53"/>
    <x v="1"/>
    <s v="Jodhpur"/>
    <x v="3"/>
    <x v="6"/>
    <n v="391"/>
    <n v="4"/>
    <n v="0.9"/>
    <n v="3456.2"/>
    <x v="1"/>
  </r>
  <r>
    <n v="59"/>
    <s v="User53"/>
    <s v="Test53"/>
    <x v="1"/>
    <s v="Jodhpur"/>
    <x v="3"/>
    <x v="7"/>
    <n v="230"/>
    <n v="10"/>
    <n v="0.93"/>
    <n v="2136"/>
    <x v="1"/>
  </r>
  <r>
    <n v="59"/>
    <s v="User53"/>
    <s v="Test53"/>
    <x v="1"/>
    <s v="Jodhpur"/>
    <x v="3"/>
    <x v="8"/>
    <n v="214"/>
    <n v="3"/>
    <n v="0.97"/>
    <n v="2004.8"/>
    <x v="1"/>
  </r>
  <r>
    <n v="59"/>
    <s v="User53"/>
    <s v="Test53"/>
    <x v="1"/>
    <s v="Jodhpur"/>
    <x v="3"/>
    <x v="9"/>
    <n v="381"/>
    <n v="5"/>
    <n v="0.86"/>
    <n v="3374.2"/>
    <x v="1"/>
  </r>
  <r>
    <n v="59"/>
    <s v="User53"/>
    <s v="Test53"/>
    <x v="1"/>
    <s v="Jodhpur"/>
    <x v="3"/>
    <x v="10"/>
    <n v="315"/>
    <n v="9"/>
    <n v="0.98"/>
    <n v="2833"/>
    <x v="1"/>
  </r>
  <r>
    <n v="59"/>
    <s v="User53"/>
    <s v="Test53"/>
    <x v="1"/>
    <s v="Jodhpur"/>
    <x v="3"/>
    <x v="11"/>
    <n v="293"/>
    <n v="2"/>
    <n v="0.98"/>
    <n v="2652.6"/>
    <x v="1"/>
  </r>
  <r>
    <n v="60"/>
    <s v="User54"/>
    <s v="Test54"/>
    <x v="2"/>
    <s v="Bengaluru"/>
    <x v="2"/>
    <x v="0"/>
    <n v="289"/>
    <n v="9"/>
    <n v="0.93"/>
    <n v="3534.5"/>
    <x v="1"/>
  </r>
  <r>
    <n v="60"/>
    <s v="User54"/>
    <s v="Test54"/>
    <x v="2"/>
    <s v="Bengaluru"/>
    <x v="2"/>
    <x v="1"/>
    <n v="334"/>
    <n v="8"/>
    <n v="0.97"/>
    <n v="4007"/>
    <x v="1"/>
  </r>
  <r>
    <n v="60"/>
    <s v="User54"/>
    <s v="Test54"/>
    <x v="2"/>
    <s v="Bengaluru"/>
    <x v="2"/>
    <x v="2"/>
    <n v="187"/>
    <n v="4"/>
    <n v="0.94"/>
    <n v="2463.5"/>
    <x v="1"/>
  </r>
  <r>
    <n v="60"/>
    <s v="User54"/>
    <s v="Test54"/>
    <x v="2"/>
    <s v="Bengaluru"/>
    <x v="2"/>
    <x v="3"/>
    <n v="194"/>
    <n v="5"/>
    <n v="0.93"/>
    <n v="2537"/>
    <x v="1"/>
  </r>
  <r>
    <n v="60"/>
    <s v="User54"/>
    <s v="Test54"/>
    <x v="2"/>
    <s v="Bengaluru"/>
    <x v="2"/>
    <x v="4"/>
    <n v="185"/>
    <n v="6"/>
    <n v="0.94"/>
    <n v="2442.5"/>
    <x v="1"/>
  </r>
  <r>
    <n v="60"/>
    <s v="User54"/>
    <s v="Test54"/>
    <x v="2"/>
    <s v="Bengaluru"/>
    <x v="2"/>
    <x v="5"/>
    <n v="211"/>
    <n v="4"/>
    <n v="0.98"/>
    <n v="2715.5"/>
    <x v="1"/>
  </r>
  <r>
    <n v="60"/>
    <s v="User54"/>
    <s v="Test54"/>
    <x v="2"/>
    <s v="Bengaluru"/>
    <x v="2"/>
    <x v="6"/>
    <n v="221"/>
    <n v="9"/>
    <n v="0.9"/>
    <n v="2820.5"/>
    <x v="1"/>
  </r>
  <r>
    <n v="60"/>
    <s v="User54"/>
    <s v="Test54"/>
    <x v="2"/>
    <s v="Bengaluru"/>
    <x v="2"/>
    <x v="7"/>
    <n v="285"/>
    <n v="5"/>
    <n v="0.89"/>
    <n v="3492.5"/>
    <x v="1"/>
  </r>
  <r>
    <n v="60"/>
    <s v="User54"/>
    <s v="Test54"/>
    <x v="2"/>
    <s v="Bengaluru"/>
    <x v="2"/>
    <x v="8"/>
    <n v="316"/>
    <n v="10"/>
    <n v="0.88"/>
    <n v="3818"/>
    <x v="1"/>
  </r>
  <r>
    <n v="60"/>
    <s v="User54"/>
    <s v="Test54"/>
    <x v="2"/>
    <s v="Bengaluru"/>
    <x v="2"/>
    <x v="9"/>
    <n v="316"/>
    <n v="5"/>
    <n v="0.85"/>
    <n v="3818"/>
    <x v="1"/>
  </r>
  <r>
    <n v="60"/>
    <s v="User54"/>
    <s v="Test54"/>
    <x v="2"/>
    <s v="Bengaluru"/>
    <x v="2"/>
    <x v="10"/>
    <n v="317"/>
    <n v="4"/>
    <n v="0.9"/>
    <n v="3828.5"/>
    <x v="1"/>
  </r>
  <r>
    <n v="60"/>
    <s v="User54"/>
    <s v="Test54"/>
    <x v="2"/>
    <s v="Bengaluru"/>
    <x v="2"/>
    <x v="11"/>
    <n v="275"/>
    <n v="4"/>
    <n v="0.86"/>
    <n v="3387.5"/>
    <x v="1"/>
  </r>
  <r>
    <n v="61"/>
    <s v="User55"/>
    <s v="Test55"/>
    <x v="3"/>
    <s v="Mysuru"/>
    <x v="2"/>
    <x v="0"/>
    <n v="363"/>
    <n v="6"/>
    <n v="0.85"/>
    <n v="1817.4"/>
    <x v="1"/>
  </r>
  <r>
    <n v="61"/>
    <s v="User55"/>
    <s v="Test55"/>
    <x v="3"/>
    <s v="Mysuru"/>
    <x v="2"/>
    <x v="1"/>
    <n v="217"/>
    <n v="7"/>
    <n v="0.92"/>
    <n v="1116.5999999999999"/>
    <x v="1"/>
  </r>
  <r>
    <n v="61"/>
    <s v="User55"/>
    <s v="Test55"/>
    <x v="3"/>
    <s v="Mysuru"/>
    <x v="2"/>
    <x v="2"/>
    <n v="208"/>
    <n v="5"/>
    <n v="0.85"/>
    <n v="1073.4000000000001"/>
    <x v="1"/>
  </r>
  <r>
    <n v="61"/>
    <s v="User55"/>
    <s v="Test55"/>
    <x v="3"/>
    <s v="Mysuru"/>
    <x v="2"/>
    <x v="3"/>
    <n v="274"/>
    <n v="2"/>
    <n v="0.93"/>
    <n v="1390.2"/>
    <x v="0"/>
  </r>
  <r>
    <n v="61"/>
    <s v="User55"/>
    <s v="Test55"/>
    <x v="3"/>
    <s v="Mysuru"/>
    <x v="2"/>
    <x v="4"/>
    <n v="186"/>
    <n v="2"/>
    <n v="0.88"/>
    <n v="967.8"/>
    <x v="1"/>
  </r>
  <r>
    <n v="61"/>
    <s v="User55"/>
    <s v="Test55"/>
    <x v="3"/>
    <s v="Mysuru"/>
    <x v="2"/>
    <x v="5"/>
    <n v="279"/>
    <n v="10"/>
    <n v="0.99"/>
    <n v="1414.2"/>
    <x v="0"/>
  </r>
  <r>
    <n v="61"/>
    <s v="User55"/>
    <s v="Test55"/>
    <x v="3"/>
    <s v="Mysuru"/>
    <x v="2"/>
    <x v="6"/>
    <n v="310"/>
    <n v="10"/>
    <n v="0.92"/>
    <n v="1563"/>
    <x v="1"/>
  </r>
  <r>
    <n v="61"/>
    <s v="User55"/>
    <s v="Test55"/>
    <x v="3"/>
    <s v="Mysuru"/>
    <x v="2"/>
    <x v="7"/>
    <n v="384"/>
    <n v="7"/>
    <n v="0.91"/>
    <n v="1918.2"/>
    <x v="0"/>
  </r>
  <r>
    <n v="61"/>
    <s v="User55"/>
    <s v="Test55"/>
    <x v="3"/>
    <s v="Mysuru"/>
    <x v="2"/>
    <x v="8"/>
    <n v="169"/>
    <n v="5"/>
    <n v="0.85"/>
    <n v="886.2"/>
    <x v="1"/>
  </r>
  <r>
    <n v="61"/>
    <s v="User55"/>
    <s v="Test55"/>
    <x v="3"/>
    <s v="Mysuru"/>
    <x v="2"/>
    <x v="9"/>
    <n v="381"/>
    <n v="3"/>
    <n v="0.92"/>
    <n v="1903.8"/>
    <x v="1"/>
  </r>
  <r>
    <n v="61"/>
    <s v="User55"/>
    <s v="Test55"/>
    <x v="3"/>
    <s v="Mysuru"/>
    <x v="2"/>
    <x v="10"/>
    <n v="373"/>
    <n v="8"/>
    <n v="0.92"/>
    <n v="1865.4"/>
    <x v="0"/>
  </r>
  <r>
    <n v="61"/>
    <s v="User55"/>
    <s v="Test55"/>
    <x v="3"/>
    <s v="Mysuru"/>
    <x v="2"/>
    <x v="11"/>
    <n v="171"/>
    <n v="10"/>
    <n v="0.93"/>
    <n v="895.8"/>
    <x v="1"/>
  </r>
  <r>
    <n v="62"/>
    <s v="User56"/>
    <s v="Test56"/>
    <x v="0"/>
    <s v="Chennai"/>
    <x v="4"/>
    <x v="0"/>
    <n v="150"/>
    <n v="8"/>
    <n v="0.92"/>
    <n v="1075"/>
    <x v="1"/>
  </r>
  <r>
    <n v="62"/>
    <s v="User56"/>
    <s v="Test56"/>
    <x v="0"/>
    <s v="Chennai"/>
    <x v="4"/>
    <x v="1"/>
    <n v="157"/>
    <n v="9"/>
    <n v="0.89"/>
    <n v="1120.5"/>
    <x v="1"/>
  </r>
  <r>
    <n v="62"/>
    <s v="User56"/>
    <s v="Test56"/>
    <x v="0"/>
    <s v="Chennai"/>
    <x v="4"/>
    <x v="2"/>
    <n v="259"/>
    <n v="9"/>
    <n v="0.96"/>
    <n v="1783.5"/>
    <x v="1"/>
  </r>
  <r>
    <n v="62"/>
    <s v="User56"/>
    <s v="Test56"/>
    <x v="0"/>
    <s v="Chennai"/>
    <x v="4"/>
    <x v="3"/>
    <n v="179"/>
    <n v="3"/>
    <n v="0.97"/>
    <n v="1263.5"/>
    <x v="1"/>
  </r>
  <r>
    <n v="62"/>
    <s v="User56"/>
    <s v="Test56"/>
    <x v="0"/>
    <s v="Chennai"/>
    <x v="4"/>
    <x v="4"/>
    <n v="221"/>
    <n v="3"/>
    <n v="0.85"/>
    <n v="1536.5"/>
    <x v="1"/>
  </r>
  <r>
    <n v="62"/>
    <s v="User56"/>
    <s v="Test56"/>
    <x v="0"/>
    <s v="Chennai"/>
    <x v="4"/>
    <x v="5"/>
    <n v="352"/>
    <n v="4"/>
    <n v="0.87"/>
    <n v="2388"/>
    <x v="0"/>
  </r>
  <r>
    <n v="62"/>
    <s v="User56"/>
    <s v="Test56"/>
    <x v="0"/>
    <s v="Chennai"/>
    <x v="4"/>
    <x v="6"/>
    <n v="161"/>
    <n v="3"/>
    <n v="0.86"/>
    <n v="1146.5"/>
    <x v="1"/>
  </r>
  <r>
    <n v="62"/>
    <s v="User56"/>
    <s v="Test56"/>
    <x v="0"/>
    <s v="Chennai"/>
    <x v="4"/>
    <x v="7"/>
    <n v="316"/>
    <n v="7"/>
    <n v="0.96"/>
    <n v="2154"/>
    <x v="1"/>
  </r>
  <r>
    <n v="62"/>
    <s v="User56"/>
    <s v="Test56"/>
    <x v="0"/>
    <s v="Chennai"/>
    <x v="4"/>
    <x v="8"/>
    <n v="242"/>
    <n v="3"/>
    <n v="0.9"/>
    <n v="1673"/>
    <x v="1"/>
  </r>
  <r>
    <n v="62"/>
    <s v="User56"/>
    <s v="Test56"/>
    <x v="0"/>
    <s v="Chennai"/>
    <x v="4"/>
    <x v="9"/>
    <n v="267"/>
    <n v="6"/>
    <n v="0.92"/>
    <n v="1835.5"/>
    <x v="1"/>
  </r>
  <r>
    <n v="62"/>
    <s v="User56"/>
    <s v="Test56"/>
    <x v="0"/>
    <s v="Chennai"/>
    <x v="4"/>
    <x v="10"/>
    <n v="190"/>
    <n v="8"/>
    <n v="0.86"/>
    <n v="1335"/>
    <x v="1"/>
  </r>
  <r>
    <n v="62"/>
    <s v="User56"/>
    <s v="Test56"/>
    <x v="0"/>
    <s v="Chennai"/>
    <x v="4"/>
    <x v="11"/>
    <n v="212"/>
    <n v="2"/>
    <n v="0.87"/>
    <n v="1478"/>
    <x v="1"/>
  </r>
  <r>
    <n v="63"/>
    <s v="User57"/>
    <s v="Test57"/>
    <x v="1"/>
    <s v="Coimbatore"/>
    <x v="4"/>
    <x v="0"/>
    <n v="330"/>
    <n v="8"/>
    <n v="0.89"/>
    <n v="2956"/>
    <x v="1"/>
  </r>
  <r>
    <n v="63"/>
    <s v="User57"/>
    <s v="Test57"/>
    <x v="1"/>
    <s v="Coimbatore"/>
    <x v="4"/>
    <x v="1"/>
    <n v="184"/>
    <n v="6"/>
    <n v="0.99"/>
    <n v="1758.8"/>
    <x v="1"/>
  </r>
  <r>
    <n v="63"/>
    <s v="User57"/>
    <s v="Test57"/>
    <x v="1"/>
    <s v="Coimbatore"/>
    <x v="4"/>
    <x v="2"/>
    <n v="360"/>
    <n v="2"/>
    <n v="0.85"/>
    <n v="3202"/>
    <x v="0"/>
  </r>
  <r>
    <n v="63"/>
    <s v="User57"/>
    <s v="Test57"/>
    <x v="1"/>
    <s v="Coimbatore"/>
    <x v="4"/>
    <x v="3"/>
    <n v="198"/>
    <n v="4"/>
    <n v="0.9"/>
    <n v="1873.6"/>
    <x v="1"/>
  </r>
  <r>
    <n v="63"/>
    <s v="User57"/>
    <s v="Test57"/>
    <x v="1"/>
    <s v="Coimbatore"/>
    <x v="4"/>
    <x v="4"/>
    <n v="164"/>
    <n v="5"/>
    <n v="0.91"/>
    <n v="1594.8"/>
    <x v="1"/>
  </r>
  <r>
    <n v="63"/>
    <s v="User57"/>
    <s v="Test57"/>
    <x v="1"/>
    <s v="Coimbatore"/>
    <x v="4"/>
    <x v="5"/>
    <n v="162"/>
    <n v="8"/>
    <n v="0.85"/>
    <n v="1578.4"/>
    <x v="0"/>
  </r>
  <r>
    <n v="63"/>
    <s v="User57"/>
    <s v="Test57"/>
    <x v="1"/>
    <s v="Coimbatore"/>
    <x v="4"/>
    <x v="6"/>
    <n v="399"/>
    <n v="9"/>
    <n v="0.94"/>
    <n v="3521.8"/>
    <x v="1"/>
  </r>
  <r>
    <n v="63"/>
    <s v="User57"/>
    <s v="Test57"/>
    <x v="1"/>
    <s v="Coimbatore"/>
    <x v="4"/>
    <x v="7"/>
    <n v="228"/>
    <n v="10"/>
    <n v="0.93"/>
    <n v="2119.6"/>
    <x v="1"/>
  </r>
  <r>
    <n v="63"/>
    <s v="User57"/>
    <s v="Test57"/>
    <x v="1"/>
    <s v="Coimbatore"/>
    <x v="4"/>
    <x v="8"/>
    <n v="271"/>
    <n v="10"/>
    <n v="0.93"/>
    <n v="2472.1999999999998"/>
    <x v="0"/>
  </r>
  <r>
    <n v="63"/>
    <s v="User57"/>
    <s v="Test57"/>
    <x v="1"/>
    <s v="Coimbatore"/>
    <x v="4"/>
    <x v="9"/>
    <n v="302"/>
    <n v="5"/>
    <n v="0.91"/>
    <n v="2726.4"/>
    <x v="1"/>
  </r>
  <r>
    <n v="63"/>
    <s v="User57"/>
    <s v="Test57"/>
    <x v="1"/>
    <s v="Coimbatore"/>
    <x v="4"/>
    <x v="10"/>
    <n v="172"/>
    <n v="10"/>
    <n v="0.89"/>
    <n v="1660.4"/>
    <x v="1"/>
  </r>
  <r>
    <n v="63"/>
    <s v="User57"/>
    <s v="Test57"/>
    <x v="1"/>
    <s v="Coimbatore"/>
    <x v="4"/>
    <x v="11"/>
    <n v="266"/>
    <n v="7"/>
    <n v="0.96"/>
    <n v="2431.1999999999998"/>
    <x v="1"/>
  </r>
  <r>
    <n v="64"/>
    <s v="User58"/>
    <s v="Test58"/>
    <x v="2"/>
    <s v="New Delhi"/>
    <x v="5"/>
    <x v="0"/>
    <n v="252"/>
    <n v="6"/>
    <n v="0.92"/>
    <n v="3146"/>
    <x v="1"/>
  </r>
  <r>
    <n v="64"/>
    <s v="User58"/>
    <s v="Test58"/>
    <x v="2"/>
    <s v="New Delhi"/>
    <x v="5"/>
    <x v="1"/>
    <n v="180"/>
    <n v="5"/>
    <n v="0.9"/>
    <n v="2390"/>
    <x v="1"/>
  </r>
  <r>
    <n v="64"/>
    <s v="User58"/>
    <s v="Test58"/>
    <x v="2"/>
    <s v="New Delhi"/>
    <x v="5"/>
    <x v="2"/>
    <n v="233"/>
    <n v="5"/>
    <n v="0.86"/>
    <n v="2946.5"/>
    <x v="1"/>
  </r>
  <r>
    <n v="64"/>
    <s v="User58"/>
    <s v="Test58"/>
    <x v="2"/>
    <s v="New Delhi"/>
    <x v="5"/>
    <x v="3"/>
    <n v="262"/>
    <n v="6"/>
    <n v="0.94"/>
    <n v="3251"/>
    <x v="1"/>
  </r>
  <r>
    <n v="64"/>
    <s v="User58"/>
    <s v="Test58"/>
    <x v="2"/>
    <s v="New Delhi"/>
    <x v="5"/>
    <x v="4"/>
    <n v="221"/>
    <n v="6"/>
    <n v="0.85"/>
    <n v="2820.5"/>
    <x v="1"/>
  </r>
  <r>
    <n v="64"/>
    <s v="User58"/>
    <s v="Test58"/>
    <x v="2"/>
    <s v="New Delhi"/>
    <x v="5"/>
    <x v="5"/>
    <n v="203"/>
    <n v="6"/>
    <n v="0.87"/>
    <n v="2631.5"/>
    <x v="1"/>
  </r>
  <r>
    <n v="64"/>
    <s v="User58"/>
    <s v="Test58"/>
    <x v="2"/>
    <s v="New Delhi"/>
    <x v="5"/>
    <x v="6"/>
    <n v="260"/>
    <n v="4"/>
    <n v="0.91"/>
    <n v="3230"/>
    <x v="1"/>
  </r>
  <r>
    <n v="64"/>
    <s v="User58"/>
    <s v="Test58"/>
    <x v="2"/>
    <s v="New Delhi"/>
    <x v="5"/>
    <x v="7"/>
    <n v="324"/>
    <n v="4"/>
    <n v="0.89"/>
    <n v="3902"/>
    <x v="1"/>
  </r>
  <r>
    <n v="64"/>
    <s v="User58"/>
    <s v="Test58"/>
    <x v="2"/>
    <s v="New Delhi"/>
    <x v="5"/>
    <x v="8"/>
    <n v="221"/>
    <n v="9"/>
    <n v="0.86"/>
    <n v="2820.5"/>
    <x v="1"/>
  </r>
  <r>
    <n v="64"/>
    <s v="User58"/>
    <s v="Test58"/>
    <x v="2"/>
    <s v="New Delhi"/>
    <x v="5"/>
    <x v="9"/>
    <n v="273"/>
    <n v="2"/>
    <n v="0.97"/>
    <n v="3366.5"/>
    <x v="1"/>
  </r>
  <r>
    <n v="64"/>
    <s v="User58"/>
    <s v="Test58"/>
    <x v="2"/>
    <s v="New Delhi"/>
    <x v="5"/>
    <x v="10"/>
    <n v="223"/>
    <n v="6"/>
    <n v="0.87"/>
    <n v="2841.5"/>
    <x v="1"/>
  </r>
  <r>
    <n v="64"/>
    <s v="User58"/>
    <s v="Test58"/>
    <x v="2"/>
    <s v="New Delhi"/>
    <x v="5"/>
    <x v="11"/>
    <n v="340"/>
    <n v="6"/>
    <n v="0.96"/>
    <n v="4070"/>
    <x v="1"/>
  </r>
  <r>
    <n v="65"/>
    <s v="User59"/>
    <s v="Test59"/>
    <x v="3"/>
    <s v="Lucknow"/>
    <x v="6"/>
    <x v="0"/>
    <n v="333"/>
    <n v="5"/>
    <n v="0.98"/>
    <n v="1673.4"/>
    <x v="0"/>
  </r>
  <r>
    <n v="65"/>
    <s v="User59"/>
    <s v="Test59"/>
    <x v="3"/>
    <s v="Lucknow"/>
    <x v="6"/>
    <x v="1"/>
    <n v="323"/>
    <n v="2"/>
    <n v="0.93"/>
    <n v="1625.4"/>
    <x v="1"/>
  </r>
  <r>
    <n v="65"/>
    <s v="User59"/>
    <s v="Test59"/>
    <x v="3"/>
    <s v="Lucknow"/>
    <x v="6"/>
    <x v="2"/>
    <n v="215"/>
    <n v="2"/>
    <n v="0.94"/>
    <n v="1107"/>
    <x v="1"/>
  </r>
  <r>
    <n v="65"/>
    <s v="User59"/>
    <s v="Test59"/>
    <x v="3"/>
    <s v="Lucknow"/>
    <x v="6"/>
    <x v="3"/>
    <n v="348"/>
    <n v="9"/>
    <n v="0.88"/>
    <n v="1745.4"/>
    <x v="0"/>
  </r>
  <r>
    <n v="65"/>
    <s v="User59"/>
    <s v="Test59"/>
    <x v="3"/>
    <s v="Lucknow"/>
    <x v="6"/>
    <x v="4"/>
    <n v="291"/>
    <n v="9"/>
    <n v="0.85"/>
    <n v="1471.8"/>
    <x v="1"/>
  </r>
  <r>
    <n v="65"/>
    <s v="User59"/>
    <s v="Test59"/>
    <x v="3"/>
    <s v="Lucknow"/>
    <x v="6"/>
    <x v="5"/>
    <n v="238"/>
    <n v="6"/>
    <n v="0.93"/>
    <n v="1217.4000000000001"/>
    <x v="0"/>
  </r>
  <r>
    <n v="65"/>
    <s v="User59"/>
    <s v="Test59"/>
    <x v="3"/>
    <s v="Lucknow"/>
    <x v="6"/>
    <x v="6"/>
    <n v="313"/>
    <n v="8"/>
    <n v="0.94"/>
    <n v="1577.4"/>
    <x v="1"/>
  </r>
  <r>
    <n v="65"/>
    <s v="User59"/>
    <s v="Test59"/>
    <x v="3"/>
    <s v="Lucknow"/>
    <x v="6"/>
    <x v="7"/>
    <n v="290"/>
    <n v="6"/>
    <n v="0.92"/>
    <n v="1467"/>
    <x v="1"/>
  </r>
  <r>
    <n v="65"/>
    <s v="User59"/>
    <s v="Test59"/>
    <x v="3"/>
    <s v="Lucknow"/>
    <x v="6"/>
    <x v="8"/>
    <n v="224"/>
    <n v="3"/>
    <n v="0.86"/>
    <n v="1150.2"/>
    <x v="0"/>
  </r>
  <r>
    <n v="65"/>
    <s v="User59"/>
    <s v="Test59"/>
    <x v="3"/>
    <s v="Lucknow"/>
    <x v="6"/>
    <x v="9"/>
    <n v="392"/>
    <n v="9"/>
    <n v="0.93"/>
    <n v="1956.6"/>
    <x v="1"/>
  </r>
  <r>
    <n v="65"/>
    <s v="User59"/>
    <s v="Test59"/>
    <x v="3"/>
    <s v="Lucknow"/>
    <x v="6"/>
    <x v="10"/>
    <n v="359"/>
    <n v="9"/>
    <n v="0.88"/>
    <n v="1798.2"/>
    <x v="1"/>
  </r>
  <r>
    <n v="65"/>
    <s v="User59"/>
    <s v="Test59"/>
    <x v="3"/>
    <s v="Lucknow"/>
    <x v="6"/>
    <x v="11"/>
    <n v="159"/>
    <n v="9"/>
    <n v="0.97"/>
    <n v="838.2"/>
    <x v="1"/>
  </r>
  <r>
    <n v="66"/>
    <s v="User60"/>
    <s v="Test60"/>
    <x v="0"/>
    <s v="Mumbai"/>
    <x v="0"/>
    <x v="0"/>
    <n v="363"/>
    <n v="3"/>
    <n v="0.89"/>
    <n v="2459.5"/>
    <x v="0"/>
  </r>
  <r>
    <n v="66"/>
    <s v="User60"/>
    <s v="Test60"/>
    <x v="0"/>
    <s v="Mumbai"/>
    <x v="0"/>
    <x v="1"/>
    <n v="313"/>
    <n v="4"/>
    <n v="0.86"/>
    <n v="2134.5"/>
    <x v="1"/>
  </r>
  <r>
    <n v="66"/>
    <s v="User60"/>
    <s v="Test60"/>
    <x v="0"/>
    <s v="Mumbai"/>
    <x v="0"/>
    <x v="2"/>
    <n v="388"/>
    <n v="9"/>
    <n v="0.87"/>
    <n v="2622"/>
    <x v="1"/>
  </r>
  <r>
    <n v="66"/>
    <s v="User60"/>
    <s v="Test60"/>
    <x v="0"/>
    <s v="Mumbai"/>
    <x v="0"/>
    <x v="3"/>
    <n v="216"/>
    <n v="3"/>
    <n v="0.89"/>
    <n v="1504"/>
    <x v="1"/>
  </r>
  <r>
    <n v="66"/>
    <s v="User60"/>
    <s v="Test60"/>
    <x v="0"/>
    <s v="Mumbai"/>
    <x v="0"/>
    <x v="4"/>
    <n v="200"/>
    <n v="6"/>
    <n v="0.86"/>
    <n v="1400"/>
    <x v="1"/>
  </r>
  <r>
    <n v="66"/>
    <s v="User60"/>
    <s v="Test60"/>
    <x v="0"/>
    <s v="Mumbai"/>
    <x v="0"/>
    <x v="5"/>
    <n v="396"/>
    <n v="7"/>
    <n v="0.97"/>
    <n v="2674"/>
    <x v="0"/>
  </r>
  <r>
    <n v="66"/>
    <s v="User60"/>
    <s v="Test60"/>
    <x v="0"/>
    <s v="Mumbai"/>
    <x v="0"/>
    <x v="6"/>
    <n v="376"/>
    <n v="5"/>
    <n v="0.97"/>
    <n v="2544"/>
    <x v="0"/>
  </r>
  <r>
    <n v="66"/>
    <s v="User60"/>
    <s v="Test60"/>
    <x v="0"/>
    <s v="Mumbai"/>
    <x v="0"/>
    <x v="7"/>
    <n v="174"/>
    <n v="4"/>
    <n v="0.96"/>
    <n v="1231"/>
    <x v="1"/>
  </r>
  <r>
    <n v="66"/>
    <s v="User60"/>
    <s v="Test60"/>
    <x v="0"/>
    <s v="Mumbai"/>
    <x v="0"/>
    <x v="8"/>
    <n v="327"/>
    <n v="8"/>
    <n v="0.97"/>
    <n v="2225.5"/>
    <x v="1"/>
  </r>
  <r>
    <n v="66"/>
    <s v="User60"/>
    <s v="Test60"/>
    <x v="0"/>
    <s v="Mumbai"/>
    <x v="0"/>
    <x v="9"/>
    <n v="217"/>
    <n v="10"/>
    <n v="0.96"/>
    <n v="1510.5"/>
    <x v="1"/>
  </r>
  <r>
    <n v="66"/>
    <s v="User60"/>
    <s v="Test60"/>
    <x v="0"/>
    <s v="Mumbai"/>
    <x v="0"/>
    <x v="10"/>
    <n v="239"/>
    <n v="7"/>
    <n v="0.93"/>
    <n v="1653.5"/>
    <x v="0"/>
  </r>
  <r>
    <n v="66"/>
    <s v="User60"/>
    <s v="Test60"/>
    <x v="0"/>
    <s v="Mumbai"/>
    <x v="0"/>
    <x v="11"/>
    <n v="382"/>
    <n v="7"/>
    <n v="0.86"/>
    <n v="2583"/>
    <x v="0"/>
  </r>
  <r>
    <n v="67"/>
    <s v="User61"/>
    <s v="Test61"/>
    <x v="1"/>
    <s v="Pune"/>
    <x v="0"/>
    <x v="0"/>
    <n v="330"/>
    <n v="8"/>
    <n v="0.89"/>
    <n v="2956"/>
    <x v="1"/>
  </r>
  <r>
    <n v="67"/>
    <s v="User61"/>
    <s v="Test61"/>
    <x v="1"/>
    <s v="Pune"/>
    <x v="0"/>
    <x v="1"/>
    <n v="389"/>
    <n v="2"/>
    <n v="0.91"/>
    <n v="3439.8"/>
    <x v="1"/>
  </r>
  <r>
    <n v="67"/>
    <s v="User61"/>
    <s v="Test61"/>
    <x v="1"/>
    <s v="Pune"/>
    <x v="0"/>
    <x v="2"/>
    <n v="329"/>
    <n v="5"/>
    <n v="0.85"/>
    <n v="2947.8"/>
    <x v="1"/>
  </r>
  <r>
    <n v="67"/>
    <s v="User61"/>
    <s v="Test61"/>
    <x v="1"/>
    <s v="Pune"/>
    <x v="0"/>
    <x v="3"/>
    <n v="212"/>
    <n v="4"/>
    <n v="0.99"/>
    <n v="1988.4"/>
    <x v="1"/>
  </r>
  <r>
    <n v="67"/>
    <s v="User61"/>
    <s v="Test61"/>
    <x v="1"/>
    <s v="Pune"/>
    <x v="0"/>
    <x v="4"/>
    <n v="227"/>
    <n v="7"/>
    <n v="0.89"/>
    <n v="2111.4"/>
    <x v="1"/>
  </r>
  <r>
    <n v="67"/>
    <s v="User61"/>
    <s v="Test61"/>
    <x v="1"/>
    <s v="Pune"/>
    <x v="0"/>
    <x v="5"/>
    <n v="338"/>
    <n v="5"/>
    <n v="0.85"/>
    <n v="3021.6"/>
    <x v="1"/>
  </r>
  <r>
    <n v="67"/>
    <s v="User61"/>
    <s v="Test61"/>
    <x v="1"/>
    <s v="Pune"/>
    <x v="0"/>
    <x v="6"/>
    <n v="253"/>
    <n v="4"/>
    <n v="0.93"/>
    <n v="2324.6"/>
    <x v="1"/>
  </r>
  <r>
    <n v="67"/>
    <s v="User61"/>
    <s v="Test61"/>
    <x v="1"/>
    <s v="Pune"/>
    <x v="0"/>
    <x v="7"/>
    <n v="295"/>
    <n v="3"/>
    <n v="0.92"/>
    <n v="2669"/>
    <x v="1"/>
  </r>
  <r>
    <n v="67"/>
    <s v="User61"/>
    <s v="Test61"/>
    <x v="1"/>
    <s v="Pune"/>
    <x v="0"/>
    <x v="8"/>
    <n v="243"/>
    <n v="4"/>
    <n v="0.94"/>
    <n v="2242.6"/>
    <x v="1"/>
  </r>
  <r>
    <n v="67"/>
    <s v="User61"/>
    <s v="Test61"/>
    <x v="1"/>
    <s v="Pune"/>
    <x v="0"/>
    <x v="9"/>
    <n v="154"/>
    <n v="2"/>
    <n v="0.85"/>
    <n v="1512.8"/>
    <x v="0"/>
  </r>
  <r>
    <n v="67"/>
    <s v="User61"/>
    <s v="Test61"/>
    <x v="1"/>
    <s v="Pune"/>
    <x v="0"/>
    <x v="10"/>
    <n v="301"/>
    <n v="7"/>
    <n v="0.97"/>
    <n v="2718.2"/>
    <x v="1"/>
  </r>
  <r>
    <n v="67"/>
    <s v="User61"/>
    <s v="Test61"/>
    <x v="1"/>
    <s v="Pune"/>
    <x v="0"/>
    <x v="11"/>
    <n v="336"/>
    <n v="5"/>
    <n v="0.92"/>
    <n v="3005.2"/>
    <x v="1"/>
  </r>
  <r>
    <n v="68"/>
    <s v="User62"/>
    <s v="Test62"/>
    <x v="2"/>
    <s v="Nagpur"/>
    <x v="0"/>
    <x v="0"/>
    <n v="286"/>
    <n v="2"/>
    <n v="0.93"/>
    <n v="3503"/>
    <x v="1"/>
  </r>
  <r>
    <n v="68"/>
    <s v="User62"/>
    <s v="Test62"/>
    <x v="2"/>
    <s v="Nagpur"/>
    <x v="0"/>
    <x v="1"/>
    <n v="181"/>
    <n v="2"/>
    <n v="0.9"/>
    <n v="2400.5"/>
    <x v="1"/>
  </r>
  <r>
    <n v="68"/>
    <s v="User62"/>
    <s v="Test62"/>
    <x v="2"/>
    <s v="Nagpur"/>
    <x v="0"/>
    <x v="2"/>
    <n v="268"/>
    <n v="6"/>
    <n v="0.86"/>
    <n v="3314"/>
    <x v="1"/>
  </r>
  <r>
    <n v="68"/>
    <s v="User62"/>
    <s v="Test62"/>
    <x v="2"/>
    <s v="Nagpur"/>
    <x v="0"/>
    <x v="3"/>
    <n v="166"/>
    <n v="8"/>
    <n v="0.85"/>
    <n v="2243"/>
    <x v="1"/>
  </r>
  <r>
    <n v="68"/>
    <s v="User62"/>
    <s v="Test62"/>
    <x v="2"/>
    <s v="Nagpur"/>
    <x v="0"/>
    <x v="4"/>
    <n v="294"/>
    <n v="10"/>
    <n v="0.97"/>
    <n v="3587"/>
    <x v="1"/>
  </r>
  <r>
    <n v="68"/>
    <s v="User62"/>
    <s v="Test62"/>
    <x v="2"/>
    <s v="Nagpur"/>
    <x v="0"/>
    <x v="5"/>
    <n v="315"/>
    <n v="10"/>
    <n v="0.85"/>
    <n v="3807.5"/>
    <x v="1"/>
  </r>
  <r>
    <n v="68"/>
    <s v="User62"/>
    <s v="Test62"/>
    <x v="2"/>
    <s v="Nagpur"/>
    <x v="0"/>
    <x v="6"/>
    <n v="332"/>
    <n v="5"/>
    <n v="0.91"/>
    <n v="3986"/>
    <x v="1"/>
  </r>
  <r>
    <n v="68"/>
    <s v="User62"/>
    <s v="Test62"/>
    <x v="2"/>
    <s v="Nagpur"/>
    <x v="0"/>
    <x v="7"/>
    <n v="318"/>
    <n v="6"/>
    <n v="0.87"/>
    <n v="3839"/>
    <x v="0"/>
  </r>
  <r>
    <n v="68"/>
    <s v="User62"/>
    <s v="Test62"/>
    <x v="2"/>
    <s v="Nagpur"/>
    <x v="0"/>
    <x v="8"/>
    <n v="384"/>
    <n v="9"/>
    <n v="0.9"/>
    <n v="4532"/>
    <x v="1"/>
  </r>
  <r>
    <n v="68"/>
    <s v="User62"/>
    <s v="Test62"/>
    <x v="2"/>
    <s v="Nagpur"/>
    <x v="0"/>
    <x v="9"/>
    <n v="384"/>
    <n v="5"/>
    <n v="0.92"/>
    <n v="4532"/>
    <x v="1"/>
  </r>
  <r>
    <n v="68"/>
    <s v="User62"/>
    <s v="Test62"/>
    <x v="2"/>
    <s v="Nagpur"/>
    <x v="0"/>
    <x v="10"/>
    <n v="327"/>
    <n v="3"/>
    <n v="0.85"/>
    <n v="3933.5"/>
    <x v="1"/>
  </r>
  <r>
    <n v="68"/>
    <s v="User62"/>
    <s v="Test62"/>
    <x v="2"/>
    <s v="Nagpur"/>
    <x v="0"/>
    <x v="11"/>
    <n v="339"/>
    <n v="5"/>
    <n v="0.94"/>
    <n v="4059.5"/>
    <x v="1"/>
  </r>
  <r>
    <n v="69"/>
    <s v="User63"/>
    <s v="Test63"/>
    <x v="3"/>
    <s v="Ahmedabad"/>
    <x v="1"/>
    <x v="0"/>
    <n v="196"/>
    <n v="6"/>
    <n v="0.86"/>
    <n v="1015.8"/>
    <x v="0"/>
  </r>
  <r>
    <n v="69"/>
    <s v="User63"/>
    <s v="Test63"/>
    <x v="3"/>
    <s v="Ahmedabad"/>
    <x v="1"/>
    <x v="1"/>
    <n v="323"/>
    <n v="4"/>
    <n v="0.86"/>
    <n v="1625.4"/>
    <x v="1"/>
  </r>
  <r>
    <n v="69"/>
    <s v="User63"/>
    <s v="Test63"/>
    <x v="3"/>
    <s v="Ahmedabad"/>
    <x v="1"/>
    <x v="2"/>
    <n v="316"/>
    <n v="5"/>
    <n v="0.96"/>
    <n v="1591.8"/>
    <x v="1"/>
  </r>
  <r>
    <n v="69"/>
    <s v="User63"/>
    <s v="Test63"/>
    <x v="3"/>
    <s v="Ahmedabad"/>
    <x v="1"/>
    <x v="3"/>
    <n v="352"/>
    <n v="5"/>
    <n v="0.86"/>
    <n v="1764.6"/>
    <x v="1"/>
  </r>
  <r>
    <n v="69"/>
    <s v="User63"/>
    <s v="Test63"/>
    <x v="3"/>
    <s v="Ahmedabad"/>
    <x v="1"/>
    <x v="4"/>
    <n v="384"/>
    <n v="4"/>
    <n v="0.93"/>
    <n v="1918.2"/>
    <x v="0"/>
  </r>
  <r>
    <n v="69"/>
    <s v="User63"/>
    <s v="Test63"/>
    <x v="3"/>
    <s v="Ahmedabad"/>
    <x v="1"/>
    <x v="5"/>
    <n v="178"/>
    <n v="9"/>
    <n v="0.93"/>
    <n v="929.4"/>
    <x v="1"/>
  </r>
  <r>
    <n v="69"/>
    <s v="User63"/>
    <s v="Test63"/>
    <x v="3"/>
    <s v="Ahmedabad"/>
    <x v="1"/>
    <x v="6"/>
    <n v="350"/>
    <n v="2"/>
    <n v="0.99"/>
    <n v="1755"/>
    <x v="1"/>
  </r>
  <r>
    <n v="69"/>
    <s v="User63"/>
    <s v="Test63"/>
    <x v="3"/>
    <s v="Ahmedabad"/>
    <x v="1"/>
    <x v="7"/>
    <n v="288"/>
    <n v="2"/>
    <n v="0.95"/>
    <n v="1457.4"/>
    <x v="1"/>
  </r>
  <r>
    <n v="69"/>
    <s v="User63"/>
    <s v="Test63"/>
    <x v="3"/>
    <s v="Ahmedabad"/>
    <x v="1"/>
    <x v="8"/>
    <n v="180"/>
    <n v="8"/>
    <n v="0.99"/>
    <n v="939"/>
    <x v="1"/>
  </r>
  <r>
    <n v="69"/>
    <s v="User63"/>
    <s v="Test63"/>
    <x v="3"/>
    <s v="Ahmedabad"/>
    <x v="1"/>
    <x v="9"/>
    <n v="306"/>
    <n v="10"/>
    <n v="0.97"/>
    <n v="1543.8"/>
    <x v="1"/>
  </r>
  <r>
    <n v="69"/>
    <s v="User63"/>
    <s v="Test63"/>
    <x v="3"/>
    <s v="Ahmedabad"/>
    <x v="1"/>
    <x v="10"/>
    <n v="233"/>
    <n v="9"/>
    <n v="0.88"/>
    <n v="1193.4000000000001"/>
    <x v="1"/>
  </r>
  <r>
    <n v="69"/>
    <s v="User63"/>
    <s v="Test63"/>
    <x v="3"/>
    <s v="Ahmedabad"/>
    <x v="1"/>
    <x v="11"/>
    <n v="200"/>
    <n v="2"/>
    <n v="0.87"/>
    <n v="1035"/>
    <x v="1"/>
  </r>
  <r>
    <n v="70"/>
    <s v="User64"/>
    <s v="Test64"/>
    <x v="0"/>
    <s v="Surat"/>
    <x v="1"/>
    <x v="0"/>
    <n v="200"/>
    <n v="6"/>
    <n v="0.95"/>
    <n v="1400"/>
    <x v="1"/>
  </r>
  <r>
    <n v="70"/>
    <s v="User64"/>
    <s v="Test64"/>
    <x v="0"/>
    <s v="Surat"/>
    <x v="1"/>
    <x v="1"/>
    <n v="153"/>
    <n v="3"/>
    <n v="0.85"/>
    <n v="1094.5"/>
    <x v="1"/>
  </r>
  <r>
    <n v="70"/>
    <s v="User64"/>
    <s v="Test64"/>
    <x v="0"/>
    <s v="Surat"/>
    <x v="1"/>
    <x v="2"/>
    <n v="318"/>
    <n v="7"/>
    <n v="0.97"/>
    <n v="2167"/>
    <x v="1"/>
  </r>
  <r>
    <n v="70"/>
    <s v="User64"/>
    <s v="Test64"/>
    <x v="0"/>
    <s v="Surat"/>
    <x v="1"/>
    <x v="3"/>
    <n v="304"/>
    <n v="10"/>
    <n v="0.88"/>
    <n v="2076"/>
    <x v="1"/>
  </r>
  <r>
    <n v="70"/>
    <s v="User64"/>
    <s v="Test64"/>
    <x v="0"/>
    <s v="Surat"/>
    <x v="1"/>
    <x v="4"/>
    <n v="165"/>
    <n v="6"/>
    <n v="0.94"/>
    <n v="1172.5"/>
    <x v="1"/>
  </r>
  <r>
    <n v="70"/>
    <s v="User64"/>
    <s v="Test64"/>
    <x v="0"/>
    <s v="Surat"/>
    <x v="1"/>
    <x v="5"/>
    <n v="201"/>
    <n v="9"/>
    <n v="0.96"/>
    <n v="1406.5"/>
    <x v="1"/>
  </r>
  <r>
    <n v="70"/>
    <s v="User64"/>
    <s v="Test64"/>
    <x v="0"/>
    <s v="Surat"/>
    <x v="1"/>
    <x v="6"/>
    <n v="380"/>
    <n v="9"/>
    <n v="0.99"/>
    <n v="2570"/>
    <x v="1"/>
  </r>
  <r>
    <n v="70"/>
    <s v="User64"/>
    <s v="Test64"/>
    <x v="0"/>
    <s v="Surat"/>
    <x v="1"/>
    <x v="7"/>
    <n v="319"/>
    <n v="4"/>
    <n v="0.9"/>
    <n v="2173.5"/>
    <x v="1"/>
  </r>
  <r>
    <n v="70"/>
    <s v="User64"/>
    <s v="Test64"/>
    <x v="0"/>
    <s v="Surat"/>
    <x v="1"/>
    <x v="8"/>
    <n v="318"/>
    <n v="4"/>
    <n v="0.91"/>
    <n v="2167"/>
    <x v="1"/>
  </r>
  <r>
    <n v="70"/>
    <s v="User64"/>
    <s v="Test64"/>
    <x v="0"/>
    <s v="Surat"/>
    <x v="1"/>
    <x v="9"/>
    <n v="284"/>
    <n v="2"/>
    <n v="0.88"/>
    <n v="1946"/>
    <x v="1"/>
  </r>
  <r>
    <n v="70"/>
    <s v="User64"/>
    <s v="Test64"/>
    <x v="0"/>
    <s v="Surat"/>
    <x v="1"/>
    <x v="10"/>
    <n v="240"/>
    <n v="2"/>
    <n v="0.9"/>
    <n v="1660"/>
    <x v="1"/>
  </r>
  <r>
    <n v="70"/>
    <s v="User64"/>
    <s v="Test64"/>
    <x v="0"/>
    <s v="Surat"/>
    <x v="1"/>
    <x v="11"/>
    <n v="299"/>
    <n v="10"/>
    <n v="0.96"/>
    <n v="2043.5"/>
    <x v="1"/>
  </r>
  <r>
    <n v="71"/>
    <s v="User65"/>
    <s v="Test65"/>
    <x v="1"/>
    <s v="Vadodara"/>
    <x v="1"/>
    <x v="0"/>
    <n v="281"/>
    <n v="5"/>
    <n v="0.97"/>
    <n v="2554.1999999999998"/>
    <x v="1"/>
  </r>
  <r>
    <n v="71"/>
    <s v="User65"/>
    <s v="Test65"/>
    <x v="1"/>
    <s v="Vadodara"/>
    <x v="1"/>
    <x v="1"/>
    <n v="349"/>
    <n v="2"/>
    <n v="0.88"/>
    <n v="3111.8"/>
    <x v="1"/>
  </r>
  <r>
    <n v="71"/>
    <s v="User65"/>
    <s v="Test65"/>
    <x v="1"/>
    <s v="Vadodara"/>
    <x v="1"/>
    <x v="2"/>
    <n v="176"/>
    <n v="8"/>
    <n v="0.88"/>
    <n v="1693.2"/>
    <x v="1"/>
  </r>
  <r>
    <n v="71"/>
    <s v="User65"/>
    <s v="Test65"/>
    <x v="1"/>
    <s v="Vadodara"/>
    <x v="1"/>
    <x v="3"/>
    <n v="375"/>
    <n v="2"/>
    <n v="0.87"/>
    <n v="3325"/>
    <x v="1"/>
  </r>
  <r>
    <n v="71"/>
    <s v="User65"/>
    <s v="Test65"/>
    <x v="1"/>
    <s v="Vadodara"/>
    <x v="1"/>
    <x v="4"/>
    <n v="349"/>
    <n v="3"/>
    <n v="0.96"/>
    <n v="3111.8"/>
    <x v="1"/>
  </r>
  <r>
    <n v="71"/>
    <s v="User65"/>
    <s v="Test65"/>
    <x v="1"/>
    <s v="Vadodara"/>
    <x v="1"/>
    <x v="5"/>
    <n v="251"/>
    <n v="3"/>
    <n v="0.94"/>
    <n v="2308.1999999999998"/>
    <x v="1"/>
  </r>
  <r>
    <n v="71"/>
    <s v="User65"/>
    <s v="Test65"/>
    <x v="1"/>
    <s v="Vadodara"/>
    <x v="1"/>
    <x v="6"/>
    <n v="256"/>
    <n v="5"/>
    <n v="0.93"/>
    <n v="2349.1999999999998"/>
    <x v="0"/>
  </r>
  <r>
    <n v="71"/>
    <s v="User65"/>
    <s v="Test65"/>
    <x v="1"/>
    <s v="Vadodara"/>
    <x v="1"/>
    <x v="7"/>
    <n v="299"/>
    <n v="8"/>
    <n v="0.97"/>
    <n v="2701.8"/>
    <x v="1"/>
  </r>
  <r>
    <n v="71"/>
    <s v="User65"/>
    <s v="Test65"/>
    <x v="1"/>
    <s v="Vadodara"/>
    <x v="1"/>
    <x v="8"/>
    <n v="212"/>
    <n v="7"/>
    <n v="0.92"/>
    <n v="1988.4"/>
    <x v="1"/>
  </r>
  <r>
    <n v="71"/>
    <s v="User65"/>
    <s v="Test65"/>
    <x v="1"/>
    <s v="Vadodara"/>
    <x v="1"/>
    <x v="9"/>
    <n v="296"/>
    <n v="4"/>
    <n v="0.88"/>
    <n v="2677.2"/>
    <x v="1"/>
  </r>
  <r>
    <n v="71"/>
    <s v="User65"/>
    <s v="Test65"/>
    <x v="1"/>
    <s v="Vadodara"/>
    <x v="1"/>
    <x v="10"/>
    <n v="288"/>
    <n v="8"/>
    <n v="0.97"/>
    <n v="2611.6"/>
    <x v="0"/>
  </r>
  <r>
    <n v="71"/>
    <s v="User65"/>
    <s v="Test65"/>
    <x v="1"/>
    <s v="Vadodara"/>
    <x v="1"/>
    <x v="11"/>
    <n v="253"/>
    <n v="5"/>
    <n v="0.87"/>
    <n v="2324.6"/>
    <x v="1"/>
  </r>
  <r>
    <n v="72"/>
    <s v="User66"/>
    <s v="Test66"/>
    <x v="2"/>
    <s v="Jaipur"/>
    <x v="3"/>
    <x v="0"/>
    <n v="174"/>
    <n v="2"/>
    <n v="0.89"/>
    <n v="2327"/>
    <x v="1"/>
  </r>
  <r>
    <n v="72"/>
    <s v="User66"/>
    <s v="Test66"/>
    <x v="2"/>
    <s v="Jaipur"/>
    <x v="3"/>
    <x v="1"/>
    <n v="226"/>
    <n v="4"/>
    <n v="0.93"/>
    <n v="2873"/>
    <x v="1"/>
  </r>
  <r>
    <n v="72"/>
    <s v="User66"/>
    <s v="Test66"/>
    <x v="2"/>
    <s v="Jaipur"/>
    <x v="3"/>
    <x v="2"/>
    <n v="298"/>
    <n v="7"/>
    <n v="0.85"/>
    <n v="3629"/>
    <x v="1"/>
  </r>
  <r>
    <n v="72"/>
    <s v="User66"/>
    <s v="Test66"/>
    <x v="2"/>
    <s v="Jaipur"/>
    <x v="3"/>
    <x v="3"/>
    <n v="254"/>
    <n v="8"/>
    <n v="0.85"/>
    <n v="3167"/>
    <x v="1"/>
  </r>
  <r>
    <n v="72"/>
    <s v="User66"/>
    <s v="Test66"/>
    <x v="2"/>
    <s v="Jaipur"/>
    <x v="3"/>
    <x v="4"/>
    <n v="248"/>
    <n v="2"/>
    <n v="0.85"/>
    <n v="3104"/>
    <x v="1"/>
  </r>
  <r>
    <n v="72"/>
    <s v="User66"/>
    <s v="Test66"/>
    <x v="2"/>
    <s v="Jaipur"/>
    <x v="3"/>
    <x v="5"/>
    <n v="184"/>
    <n v="4"/>
    <n v="0.9"/>
    <n v="2432"/>
    <x v="0"/>
  </r>
  <r>
    <n v="72"/>
    <s v="User66"/>
    <s v="Test66"/>
    <x v="2"/>
    <s v="Jaipur"/>
    <x v="3"/>
    <x v="6"/>
    <n v="194"/>
    <n v="2"/>
    <n v="0.85"/>
    <n v="2537"/>
    <x v="1"/>
  </r>
  <r>
    <n v="72"/>
    <s v="User66"/>
    <s v="Test66"/>
    <x v="2"/>
    <s v="Jaipur"/>
    <x v="3"/>
    <x v="7"/>
    <n v="219"/>
    <n v="8"/>
    <n v="0.96"/>
    <n v="2799.5"/>
    <x v="1"/>
  </r>
  <r>
    <n v="72"/>
    <s v="User66"/>
    <s v="Test66"/>
    <x v="2"/>
    <s v="Jaipur"/>
    <x v="3"/>
    <x v="8"/>
    <n v="374"/>
    <n v="9"/>
    <n v="0.94"/>
    <n v="4427"/>
    <x v="1"/>
  </r>
  <r>
    <n v="72"/>
    <s v="User66"/>
    <s v="Test66"/>
    <x v="2"/>
    <s v="Jaipur"/>
    <x v="3"/>
    <x v="9"/>
    <n v="192"/>
    <n v="3"/>
    <n v="0.85"/>
    <n v="2516"/>
    <x v="1"/>
  </r>
  <r>
    <n v="72"/>
    <s v="User66"/>
    <s v="Test66"/>
    <x v="2"/>
    <s v="Jaipur"/>
    <x v="3"/>
    <x v="10"/>
    <n v="335"/>
    <n v="7"/>
    <n v="0.95"/>
    <n v="4017.5"/>
    <x v="1"/>
  </r>
  <r>
    <n v="72"/>
    <s v="User66"/>
    <s v="Test66"/>
    <x v="2"/>
    <s v="Jaipur"/>
    <x v="3"/>
    <x v="11"/>
    <n v="396"/>
    <n v="10"/>
    <n v="0.99"/>
    <n v="4658"/>
    <x v="1"/>
  </r>
  <r>
    <n v="73"/>
    <s v="User67"/>
    <s v="Test67"/>
    <x v="3"/>
    <s v="Udaipur"/>
    <x v="3"/>
    <x v="0"/>
    <n v="299"/>
    <n v="8"/>
    <n v="0.93"/>
    <n v="1510.2"/>
    <x v="1"/>
  </r>
  <r>
    <n v="73"/>
    <s v="User67"/>
    <s v="Test67"/>
    <x v="3"/>
    <s v="Udaipur"/>
    <x v="3"/>
    <x v="1"/>
    <n v="277"/>
    <n v="7"/>
    <n v="0.99"/>
    <n v="1404.6"/>
    <x v="1"/>
  </r>
  <r>
    <n v="73"/>
    <s v="User67"/>
    <s v="Test67"/>
    <x v="3"/>
    <s v="Udaipur"/>
    <x v="3"/>
    <x v="2"/>
    <n v="218"/>
    <n v="6"/>
    <n v="0.92"/>
    <n v="1121.4000000000001"/>
    <x v="1"/>
  </r>
  <r>
    <n v="73"/>
    <s v="User67"/>
    <s v="Test67"/>
    <x v="3"/>
    <s v="Udaipur"/>
    <x v="3"/>
    <x v="3"/>
    <n v="335"/>
    <n v="9"/>
    <n v="0.87"/>
    <n v="1683"/>
    <x v="1"/>
  </r>
  <r>
    <n v="73"/>
    <s v="User67"/>
    <s v="Test67"/>
    <x v="3"/>
    <s v="Udaipur"/>
    <x v="3"/>
    <x v="4"/>
    <n v="339"/>
    <n v="9"/>
    <n v="0.92"/>
    <n v="1702.2"/>
    <x v="0"/>
  </r>
  <r>
    <n v="73"/>
    <s v="User67"/>
    <s v="Test67"/>
    <x v="3"/>
    <s v="Udaipur"/>
    <x v="3"/>
    <x v="5"/>
    <n v="212"/>
    <n v="3"/>
    <n v="0.86"/>
    <n v="1092.5999999999999"/>
    <x v="0"/>
  </r>
  <r>
    <n v="73"/>
    <s v="User67"/>
    <s v="Test67"/>
    <x v="3"/>
    <s v="Udaipur"/>
    <x v="3"/>
    <x v="6"/>
    <n v="294"/>
    <n v="2"/>
    <n v="0.94"/>
    <n v="1486.2"/>
    <x v="1"/>
  </r>
  <r>
    <n v="73"/>
    <s v="User67"/>
    <s v="Test67"/>
    <x v="3"/>
    <s v="Udaipur"/>
    <x v="3"/>
    <x v="7"/>
    <n v="236"/>
    <n v="2"/>
    <n v="0.86"/>
    <n v="1207.8"/>
    <x v="1"/>
  </r>
  <r>
    <n v="73"/>
    <s v="User67"/>
    <s v="Test67"/>
    <x v="3"/>
    <s v="Udaipur"/>
    <x v="3"/>
    <x v="8"/>
    <n v="198"/>
    <n v="9"/>
    <n v="0.88"/>
    <n v="1025.4000000000001"/>
    <x v="1"/>
  </r>
  <r>
    <n v="73"/>
    <s v="User67"/>
    <s v="Test67"/>
    <x v="3"/>
    <s v="Udaipur"/>
    <x v="3"/>
    <x v="9"/>
    <n v="156"/>
    <n v="5"/>
    <n v="0.91"/>
    <n v="823.8"/>
    <x v="0"/>
  </r>
  <r>
    <n v="73"/>
    <s v="User67"/>
    <s v="Test67"/>
    <x v="3"/>
    <s v="Udaipur"/>
    <x v="3"/>
    <x v="10"/>
    <n v="179"/>
    <n v="10"/>
    <n v="0.85"/>
    <n v="934.2"/>
    <x v="1"/>
  </r>
  <r>
    <n v="73"/>
    <s v="User67"/>
    <s v="Test67"/>
    <x v="3"/>
    <s v="Udaipur"/>
    <x v="3"/>
    <x v="11"/>
    <n v="238"/>
    <n v="4"/>
    <n v="0.92"/>
    <n v="1217.4000000000001"/>
    <x v="1"/>
  </r>
  <r>
    <n v="74"/>
    <s v="User68"/>
    <s v="Test68"/>
    <x v="0"/>
    <s v="Jodhpur"/>
    <x v="3"/>
    <x v="0"/>
    <n v="311"/>
    <n v="10"/>
    <n v="0.87"/>
    <n v="2121.5"/>
    <x v="1"/>
  </r>
  <r>
    <n v="74"/>
    <s v="User68"/>
    <s v="Test68"/>
    <x v="0"/>
    <s v="Jodhpur"/>
    <x v="3"/>
    <x v="1"/>
    <n v="395"/>
    <n v="4"/>
    <n v="0.97"/>
    <n v="2667.5"/>
    <x v="1"/>
  </r>
  <r>
    <n v="74"/>
    <s v="User68"/>
    <s v="Test68"/>
    <x v="0"/>
    <s v="Jodhpur"/>
    <x v="3"/>
    <x v="2"/>
    <n v="328"/>
    <n v="3"/>
    <n v="0.98"/>
    <n v="2232"/>
    <x v="1"/>
  </r>
  <r>
    <n v="74"/>
    <s v="User68"/>
    <s v="Test68"/>
    <x v="0"/>
    <s v="Jodhpur"/>
    <x v="3"/>
    <x v="3"/>
    <n v="391"/>
    <n v="6"/>
    <n v="0.85"/>
    <n v="2641.5"/>
    <x v="1"/>
  </r>
  <r>
    <n v="74"/>
    <s v="User68"/>
    <s v="Test68"/>
    <x v="0"/>
    <s v="Jodhpur"/>
    <x v="3"/>
    <x v="4"/>
    <n v="229"/>
    <n v="6"/>
    <n v="0.99"/>
    <n v="1588.5"/>
    <x v="1"/>
  </r>
  <r>
    <n v="74"/>
    <s v="User68"/>
    <s v="Test68"/>
    <x v="0"/>
    <s v="Jodhpur"/>
    <x v="3"/>
    <x v="5"/>
    <n v="152"/>
    <n v="6"/>
    <n v="0.89"/>
    <n v="1088"/>
    <x v="1"/>
  </r>
  <r>
    <n v="74"/>
    <s v="User68"/>
    <s v="Test68"/>
    <x v="0"/>
    <s v="Jodhpur"/>
    <x v="3"/>
    <x v="6"/>
    <n v="324"/>
    <n v="7"/>
    <n v="0.99"/>
    <n v="2206"/>
    <x v="1"/>
  </r>
  <r>
    <n v="74"/>
    <s v="User68"/>
    <s v="Test68"/>
    <x v="0"/>
    <s v="Jodhpur"/>
    <x v="3"/>
    <x v="7"/>
    <n v="187"/>
    <n v="9"/>
    <n v="0.86"/>
    <n v="1315.5"/>
    <x v="1"/>
  </r>
  <r>
    <n v="74"/>
    <s v="User68"/>
    <s v="Test68"/>
    <x v="0"/>
    <s v="Jodhpur"/>
    <x v="3"/>
    <x v="8"/>
    <n v="188"/>
    <n v="4"/>
    <n v="0.95"/>
    <n v="1322"/>
    <x v="1"/>
  </r>
  <r>
    <n v="74"/>
    <s v="User68"/>
    <s v="Test68"/>
    <x v="0"/>
    <s v="Jodhpur"/>
    <x v="3"/>
    <x v="9"/>
    <n v="396"/>
    <n v="6"/>
    <n v="0.92"/>
    <n v="2674"/>
    <x v="1"/>
  </r>
  <r>
    <n v="74"/>
    <s v="User68"/>
    <s v="Test68"/>
    <x v="0"/>
    <s v="Jodhpur"/>
    <x v="3"/>
    <x v="10"/>
    <n v="208"/>
    <n v="9"/>
    <n v="0.93"/>
    <n v="1452"/>
    <x v="0"/>
  </r>
  <r>
    <n v="74"/>
    <s v="User68"/>
    <s v="Test68"/>
    <x v="0"/>
    <s v="Jodhpur"/>
    <x v="3"/>
    <x v="11"/>
    <n v="353"/>
    <n v="9"/>
    <n v="0.91"/>
    <n v="2394.5"/>
    <x v="1"/>
  </r>
  <r>
    <n v="75"/>
    <s v="User69"/>
    <s v="Test69"/>
    <x v="1"/>
    <s v="Bengaluru"/>
    <x v="2"/>
    <x v="0"/>
    <n v="347"/>
    <n v="8"/>
    <n v="0.95"/>
    <n v="3095.4"/>
    <x v="1"/>
  </r>
  <r>
    <n v="75"/>
    <s v="User69"/>
    <s v="Test69"/>
    <x v="1"/>
    <s v="Bengaluru"/>
    <x v="2"/>
    <x v="1"/>
    <n v="396"/>
    <n v="6"/>
    <n v="0.96"/>
    <n v="3497.2"/>
    <x v="1"/>
  </r>
  <r>
    <n v="75"/>
    <s v="User69"/>
    <s v="Test69"/>
    <x v="1"/>
    <s v="Bengaluru"/>
    <x v="2"/>
    <x v="2"/>
    <n v="227"/>
    <n v="5"/>
    <n v="0.95"/>
    <n v="2111.4"/>
    <x v="1"/>
  </r>
  <r>
    <n v="75"/>
    <s v="User69"/>
    <s v="Test69"/>
    <x v="1"/>
    <s v="Bengaluru"/>
    <x v="2"/>
    <x v="3"/>
    <n v="299"/>
    <n v="5"/>
    <n v="0.85"/>
    <n v="2701.8"/>
    <x v="1"/>
  </r>
  <r>
    <n v="75"/>
    <s v="User69"/>
    <s v="Test69"/>
    <x v="1"/>
    <s v="Bengaluru"/>
    <x v="2"/>
    <x v="4"/>
    <n v="382"/>
    <n v="10"/>
    <n v="0.88"/>
    <n v="3382.4"/>
    <x v="1"/>
  </r>
  <r>
    <n v="75"/>
    <s v="User69"/>
    <s v="Test69"/>
    <x v="1"/>
    <s v="Bengaluru"/>
    <x v="2"/>
    <x v="5"/>
    <n v="151"/>
    <n v="2"/>
    <n v="0.97"/>
    <n v="1488.2"/>
    <x v="1"/>
  </r>
  <r>
    <n v="75"/>
    <s v="User69"/>
    <s v="Test69"/>
    <x v="1"/>
    <s v="Bengaluru"/>
    <x v="2"/>
    <x v="6"/>
    <n v="230"/>
    <n v="6"/>
    <n v="0.86"/>
    <n v="2136"/>
    <x v="0"/>
  </r>
  <r>
    <n v="75"/>
    <s v="User69"/>
    <s v="Test69"/>
    <x v="1"/>
    <s v="Bengaluru"/>
    <x v="2"/>
    <x v="7"/>
    <n v="341"/>
    <n v="10"/>
    <n v="0.87"/>
    <n v="3046.2"/>
    <x v="1"/>
  </r>
  <r>
    <n v="75"/>
    <s v="User69"/>
    <s v="Test69"/>
    <x v="1"/>
    <s v="Bengaluru"/>
    <x v="2"/>
    <x v="8"/>
    <n v="271"/>
    <n v="7"/>
    <n v="0.9"/>
    <n v="2472.1999999999998"/>
    <x v="1"/>
  </r>
  <r>
    <n v="75"/>
    <s v="User69"/>
    <s v="Test69"/>
    <x v="1"/>
    <s v="Bengaluru"/>
    <x v="2"/>
    <x v="9"/>
    <n v="347"/>
    <n v="6"/>
    <n v="0.95"/>
    <n v="3095.4"/>
    <x v="1"/>
  </r>
  <r>
    <n v="75"/>
    <s v="User69"/>
    <s v="Test69"/>
    <x v="1"/>
    <s v="Bengaluru"/>
    <x v="2"/>
    <x v="10"/>
    <n v="323"/>
    <n v="10"/>
    <n v="0.91"/>
    <n v="2898.6"/>
    <x v="1"/>
  </r>
  <r>
    <n v="75"/>
    <s v="User69"/>
    <s v="Test69"/>
    <x v="1"/>
    <s v="Bengaluru"/>
    <x v="2"/>
    <x v="11"/>
    <n v="378"/>
    <n v="3"/>
    <n v="0.85"/>
    <n v="3349.6"/>
    <x v="1"/>
  </r>
  <r>
    <n v="76"/>
    <s v="User70"/>
    <s v="Test70"/>
    <x v="2"/>
    <s v="Mysuru"/>
    <x v="2"/>
    <x v="0"/>
    <n v="381"/>
    <n v="2"/>
    <n v="0.88"/>
    <n v="4500.5"/>
    <x v="1"/>
  </r>
  <r>
    <n v="76"/>
    <s v="User70"/>
    <s v="Test70"/>
    <x v="2"/>
    <s v="Mysuru"/>
    <x v="2"/>
    <x v="1"/>
    <n v="353"/>
    <n v="5"/>
    <n v="0.94"/>
    <n v="4206.5"/>
    <x v="1"/>
  </r>
  <r>
    <n v="76"/>
    <s v="User70"/>
    <s v="Test70"/>
    <x v="2"/>
    <s v="Mysuru"/>
    <x v="2"/>
    <x v="2"/>
    <n v="243"/>
    <n v="10"/>
    <n v="0.85"/>
    <n v="3051.5"/>
    <x v="0"/>
  </r>
  <r>
    <n v="76"/>
    <s v="User70"/>
    <s v="Test70"/>
    <x v="2"/>
    <s v="Mysuru"/>
    <x v="2"/>
    <x v="3"/>
    <n v="286"/>
    <n v="3"/>
    <n v="0.93"/>
    <n v="3503"/>
    <x v="1"/>
  </r>
  <r>
    <n v="76"/>
    <s v="User70"/>
    <s v="Test70"/>
    <x v="2"/>
    <s v="Mysuru"/>
    <x v="2"/>
    <x v="4"/>
    <n v="287"/>
    <n v="8"/>
    <n v="0.93"/>
    <n v="3513.5"/>
    <x v="1"/>
  </r>
  <r>
    <n v="76"/>
    <s v="User70"/>
    <s v="Test70"/>
    <x v="2"/>
    <s v="Mysuru"/>
    <x v="2"/>
    <x v="5"/>
    <n v="188"/>
    <n v="9"/>
    <n v="0.96"/>
    <n v="2474"/>
    <x v="1"/>
  </r>
  <r>
    <n v="76"/>
    <s v="User70"/>
    <s v="Test70"/>
    <x v="2"/>
    <s v="Mysuru"/>
    <x v="2"/>
    <x v="6"/>
    <n v="190"/>
    <n v="10"/>
    <n v="0.91"/>
    <n v="2495"/>
    <x v="0"/>
  </r>
  <r>
    <n v="76"/>
    <s v="User70"/>
    <s v="Test70"/>
    <x v="2"/>
    <s v="Mysuru"/>
    <x v="2"/>
    <x v="7"/>
    <n v="219"/>
    <n v="5"/>
    <n v="0.97"/>
    <n v="2799.5"/>
    <x v="1"/>
  </r>
  <r>
    <n v="76"/>
    <s v="User70"/>
    <s v="Test70"/>
    <x v="2"/>
    <s v="Mysuru"/>
    <x v="2"/>
    <x v="8"/>
    <n v="174"/>
    <n v="4"/>
    <n v="0.92"/>
    <n v="2327"/>
    <x v="1"/>
  </r>
  <r>
    <n v="76"/>
    <s v="User70"/>
    <s v="Test70"/>
    <x v="2"/>
    <s v="Mysuru"/>
    <x v="2"/>
    <x v="9"/>
    <n v="252"/>
    <n v="5"/>
    <n v="0.99"/>
    <n v="3146"/>
    <x v="1"/>
  </r>
  <r>
    <n v="76"/>
    <s v="User70"/>
    <s v="Test70"/>
    <x v="2"/>
    <s v="Mysuru"/>
    <x v="2"/>
    <x v="10"/>
    <n v="277"/>
    <n v="3"/>
    <n v="0.95"/>
    <n v="3408.5"/>
    <x v="1"/>
  </r>
  <r>
    <n v="76"/>
    <s v="User70"/>
    <s v="Test70"/>
    <x v="2"/>
    <s v="Mysuru"/>
    <x v="2"/>
    <x v="11"/>
    <n v="244"/>
    <n v="9"/>
    <n v="0.9"/>
    <n v="3062"/>
    <x v="0"/>
  </r>
  <r>
    <n v="77"/>
    <s v="User71"/>
    <s v="Test71"/>
    <x v="3"/>
    <s v="Chennai"/>
    <x v="4"/>
    <x v="0"/>
    <n v="313"/>
    <n v="10"/>
    <n v="0.87"/>
    <n v="1577.4"/>
    <x v="1"/>
  </r>
  <r>
    <n v="77"/>
    <s v="User71"/>
    <s v="Test71"/>
    <x v="3"/>
    <s v="Chennai"/>
    <x v="4"/>
    <x v="1"/>
    <n v="336"/>
    <n v="10"/>
    <n v="0.86"/>
    <n v="1687.8"/>
    <x v="1"/>
  </r>
  <r>
    <n v="77"/>
    <s v="User71"/>
    <s v="Test71"/>
    <x v="3"/>
    <s v="Chennai"/>
    <x v="4"/>
    <x v="2"/>
    <n v="358"/>
    <n v="9"/>
    <n v="0.85"/>
    <n v="1793.4"/>
    <x v="1"/>
  </r>
  <r>
    <n v="77"/>
    <s v="User71"/>
    <s v="Test71"/>
    <x v="3"/>
    <s v="Chennai"/>
    <x v="4"/>
    <x v="3"/>
    <n v="178"/>
    <n v="9"/>
    <n v="0.92"/>
    <n v="929.4"/>
    <x v="1"/>
  </r>
  <r>
    <n v="77"/>
    <s v="User71"/>
    <s v="Test71"/>
    <x v="3"/>
    <s v="Chennai"/>
    <x v="4"/>
    <x v="4"/>
    <n v="366"/>
    <n v="4"/>
    <n v="0.89"/>
    <n v="1831.8"/>
    <x v="1"/>
  </r>
  <r>
    <n v="77"/>
    <s v="User71"/>
    <s v="Test71"/>
    <x v="3"/>
    <s v="Chennai"/>
    <x v="4"/>
    <x v="5"/>
    <n v="393"/>
    <n v="9"/>
    <n v="0.85"/>
    <n v="1961.4"/>
    <x v="0"/>
  </r>
  <r>
    <n v="77"/>
    <s v="User71"/>
    <s v="Test71"/>
    <x v="3"/>
    <s v="Chennai"/>
    <x v="4"/>
    <x v="6"/>
    <n v="188"/>
    <n v="6"/>
    <n v="0.93"/>
    <n v="977.4"/>
    <x v="1"/>
  </r>
  <r>
    <n v="77"/>
    <s v="User71"/>
    <s v="Test71"/>
    <x v="3"/>
    <s v="Chennai"/>
    <x v="4"/>
    <x v="7"/>
    <n v="352"/>
    <n v="5"/>
    <n v="0.98"/>
    <n v="1764.6"/>
    <x v="0"/>
  </r>
  <r>
    <n v="77"/>
    <s v="User71"/>
    <s v="Test71"/>
    <x v="3"/>
    <s v="Chennai"/>
    <x v="4"/>
    <x v="8"/>
    <n v="296"/>
    <n v="8"/>
    <n v="0.97"/>
    <n v="1495.8"/>
    <x v="1"/>
  </r>
  <r>
    <n v="77"/>
    <s v="User71"/>
    <s v="Test71"/>
    <x v="3"/>
    <s v="Chennai"/>
    <x v="4"/>
    <x v="9"/>
    <n v="288"/>
    <n v="6"/>
    <n v="0.9"/>
    <n v="1457.4"/>
    <x v="1"/>
  </r>
  <r>
    <n v="77"/>
    <s v="User71"/>
    <s v="Test71"/>
    <x v="3"/>
    <s v="Chennai"/>
    <x v="4"/>
    <x v="10"/>
    <n v="244"/>
    <n v="7"/>
    <n v="0.9"/>
    <n v="1246.2"/>
    <x v="1"/>
  </r>
  <r>
    <n v="77"/>
    <s v="User71"/>
    <s v="Test71"/>
    <x v="3"/>
    <s v="Chennai"/>
    <x v="4"/>
    <x v="11"/>
    <n v="242"/>
    <n v="9"/>
    <n v="0.97"/>
    <n v="1236.5999999999999"/>
    <x v="0"/>
  </r>
  <r>
    <n v="78"/>
    <s v="User72"/>
    <s v="Test72"/>
    <x v="0"/>
    <s v="Coimbatore"/>
    <x v="4"/>
    <x v="0"/>
    <n v="273"/>
    <n v="9"/>
    <n v="0.95"/>
    <n v="1874.5"/>
    <x v="1"/>
  </r>
  <r>
    <n v="78"/>
    <s v="User72"/>
    <s v="Test72"/>
    <x v="0"/>
    <s v="Coimbatore"/>
    <x v="4"/>
    <x v="1"/>
    <n v="188"/>
    <n v="4"/>
    <n v="0.87"/>
    <n v="1322"/>
    <x v="1"/>
  </r>
  <r>
    <n v="78"/>
    <s v="User72"/>
    <s v="Test72"/>
    <x v="0"/>
    <s v="Coimbatore"/>
    <x v="4"/>
    <x v="2"/>
    <n v="204"/>
    <n v="10"/>
    <n v="0.86"/>
    <n v="1426"/>
    <x v="0"/>
  </r>
  <r>
    <n v="78"/>
    <s v="User72"/>
    <s v="Test72"/>
    <x v="0"/>
    <s v="Coimbatore"/>
    <x v="4"/>
    <x v="3"/>
    <n v="251"/>
    <n v="10"/>
    <n v="0.91"/>
    <n v="1731.5"/>
    <x v="1"/>
  </r>
  <r>
    <n v="78"/>
    <s v="User72"/>
    <s v="Test72"/>
    <x v="0"/>
    <s v="Coimbatore"/>
    <x v="4"/>
    <x v="4"/>
    <n v="186"/>
    <n v="7"/>
    <n v="0.96"/>
    <n v="1309"/>
    <x v="1"/>
  </r>
  <r>
    <n v="78"/>
    <s v="User72"/>
    <s v="Test72"/>
    <x v="0"/>
    <s v="Coimbatore"/>
    <x v="4"/>
    <x v="5"/>
    <n v="247"/>
    <n v="2"/>
    <n v="0.87"/>
    <n v="1705.5"/>
    <x v="1"/>
  </r>
  <r>
    <n v="78"/>
    <s v="User72"/>
    <s v="Test72"/>
    <x v="0"/>
    <s v="Coimbatore"/>
    <x v="4"/>
    <x v="6"/>
    <n v="308"/>
    <n v="9"/>
    <n v="0.92"/>
    <n v="2102"/>
    <x v="0"/>
  </r>
  <r>
    <n v="78"/>
    <s v="User72"/>
    <s v="Test72"/>
    <x v="0"/>
    <s v="Coimbatore"/>
    <x v="4"/>
    <x v="7"/>
    <n v="278"/>
    <n v="4"/>
    <n v="0.87"/>
    <n v="1907"/>
    <x v="0"/>
  </r>
  <r>
    <n v="78"/>
    <s v="User72"/>
    <s v="Test72"/>
    <x v="0"/>
    <s v="Coimbatore"/>
    <x v="4"/>
    <x v="8"/>
    <n v="349"/>
    <n v="7"/>
    <n v="0.92"/>
    <n v="2368.5"/>
    <x v="1"/>
  </r>
  <r>
    <n v="78"/>
    <s v="User72"/>
    <s v="Test72"/>
    <x v="0"/>
    <s v="Coimbatore"/>
    <x v="4"/>
    <x v="9"/>
    <n v="374"/>
    <n v="4"/>
    <n v="0.96"/>
    <n v="2531"/>
    <x v="0"/>
  </r>
  <r>
    <n v="78"/>
    <s v="User72"/>
    <s v="Test72"/>
    <x v="0"/>
    <s v="Coimbatore"/>
    <x v="4"/>
    <x v="10"/>
    <n v="217"/>
    <n v="10"/>
    <n v="0.85"/>
    <n v="1510.5"/>
    <x v="1"/>
  </r>
  <r>
    <n v="78"/>
    <s v="User72"/>
    <s v="Test72"/>
    <x v="0"/>
    <s v="Coimbatore"/>
    <x v="4"/>
    <x v="11"/>
    <n v="193"/>
    <n v="8"/>
    <n v="0.95"/>
    <n v="1354.5"/>
    <x v="1"/>
  </r>
  <r>
    <n v="79"/>
    <s v="User73"/>
    <s v="Test73"/>
    <x v="1"/>
    <s v="New Delhi"/>
    <x v="5"/>
    <x v="0"/>
    <n v="216"/>
    <n v="7"/>
    <n v="0.99"/>
    <n v="2021.2"/>
    <x v="1"/>
  </r>
  <r>
    <n v="79"/>
    <s v="User73"/>
    <s v="Test73"/>
    <x v="1"/>
    <s v="New Delhi"/>
    <x v="5"/>
    <x v="1"/>
    <n v="370"/>
    <n v="5"/>
    <n v="0.86"/>
    <n v="3284"/>
    <x v="1"/>
  </r>
  <r>
    <n v="79"/>
    <s v="User73"/>
    <s v="Test73"/>
    <x v="1"/>
    <s v="New Delhi"/>
    <x v="5"/>
    <x v="2"/>
    <n v="217"/>
    <n v="9"/>
    <n v="0.88"/>
    <n v="2029.4"/>
    <x v="1"/>
  </r>
  <r>
    <n v="79"/>
    <s v="User73"/>
    <s v="Test73"/>
    <x v="1"/>
    <s v="New Delhi"/>
    <x v="5"/>
    <x v="3"/>
    <n v="227"/>
    <n v="4"/>
    <n v="0.9"/>
    <n v="2111.4"/>
    <x v="1"/>
  </r>
  <r>
    <n v="79"/>
    <s v="User73"/>
    <s v="Test73"/>
    <x v="1"/>
    <s v="New Delhi"/>
    <x v="5"/>
    <x v="4"/>
    <n v="296"/>
    <n v="9"/>
    <n v="0.99"/>
    <n v="2677.2"/>
    <x v="1"/>
  </r>
  <r>
    <n v="79"/>
    <s v="User73"/>
    <s v="Test73"/>
    <x v="1"/>
    <s v="New Delhi"/>
    <x v="5"/>
    <x v="5"/>
    <n v="290"/>
    <n v="6"/>
    <n v="0.95"/>
    <n v="2628"/>
    <x v="0"/>
  </r>
  <r>
    <n v="79"/>
    <s v="User73"/>
    <s v="Test73"/>
    <x v="1"/>
    <s v="New Delhi"/>
    <x v="5"/>
    <x v="6"/>
    <n v="236"/>
    <n v="8"/>
    <n v="0.99"/>
    <n v="2185.1999999999998"/>
    <x v="1"/>
  </r>
  <r>
    <n v="79"/>
    <s v="User73"/>
    <s v="Test73"/>
    <x v="1"/>
    <s v="New Delhi"/>
    <x v="5"/>
    <x v="7"/>
    <n v="379"/>
    <n v="10"/>
    <n v="0.85"/>
    <n v="3357.8"/>
    <x v="1"/>
  </r>
  <r>
    <n v="79"/>
    <s v="User73"/>
    <s v="Test73"/>
    <x v="1"/>
    <s v="New Delhi"/>
    <x v="5"/>
    <x v="8"/>
    <n v="260"/>
    <n v="3"/>
    <n v="0.89"/>
    <n v="2382"/>
    <x v="1"/>
  </r>
  <r>
    <n v="79"/>
    <s v="User73"/>
    <s v="Test73"/>
    <x v="1"/>
    <s v="New Delhi"/>
    <x v="5"/>
    <x v="9"/>
    <n v="249"/>
    <n v="7"/>
    <n v="0.94"/>
    <n v="2291.8000000000002"/>
    <x v="1"/>
  </r>
  <r>
    <n v="79"/>
    <s v="User73"/>
    <s v="Test73"/>
    <x v="1"/>
    <s v="New Delhi"/>
    <x v="5"/>
    <x v="10"/>
    <n v="400"/>
    <n v="2"/>
    <n v="0.85"/>
    <n v="3530"/>
    <x v="1"/>
  </r>
  <r>
    <n v="79"/>
    <s v="User73"/>
    <s v="Test73"/>
    <x v="1"/>
    <s v="New Delhi"/>
    <x v="5"/>
    <x v="11"/>
    <n v="241"/>
    <n v="4"/>
    <n v="0.94"/>
    <n v="2226.1999999999998"/>
    <x v="1"/>
  </r>
  <r>
    <n v="80"/>
    <s v="User74"/>
    <s v="Test74"/>
    <x v="2"/>
    <s v="Lucknow"/>
    <x v="6"/>
    <x v="0"/>
    <n v="362"/>
    <n v="2"/>
    <n v="0.86"/>
    <n v="4301"/>
    <x v="0"/>
  </r>
  <r>
    <n v="80"/>
    <s v="User74"/>
    <s v="Test74"/>
    <x v="2"/>
    <s v="Lucknow"/>
    <x v="6"/>
    <x v="1"/>
    <n v="255"/>
    <n v="7"/>
    <n v="0.98"/>
    <n v="3177.5"/>
    <x v="1"/>
  </r>
  <r>
    <n v="80"/>
    <s v="User74"/>
    <s v="Test74"/>
    <x v="2"/>
    <s v="Lucknow"/>
    <x v="6"/>
    <x v="2"/>
    <n v="326"/>
    <n v="8"/>
    <n v="0.97"/>
    <n v="3923"/>
    <x v="1"/>
  </r>
  <r>
    <n v="80"/>
    <s v="User74"/>
    <s v="Test74"/>
    <x v="2"/>
    <s v="Lucknow"/>
    <x v="6"/>
    <x v="3"/>
    <n v="319"/>
    <n v="5"/>
    <n v="0.86"/>
    <n v="3849.5"/>
    <x v="0"/>
  </r>
  <r>
    <n v="80"/>
    <s v="User74"/>
    <s v="Test74"/>
    <x v="2"/>
    <s v="Lucknow"/>
    <x v="6"/>
    <x v="4"/>
    <n v="225"/>
    <n v="8"/>
    <n v="0.9"/>
    <n v="2862.5"/>
    <x v="1"/>
  </r>
  <r>
    <n v="80"/>
    <s v="User74"/>
    <s v="Test74"/>
    <x v="2"/>
    <s v="Lucknow"/>
    <x v="6"/>
    <x v="5"/>
    <n v="266"/>
    <n v="3"/>
    <n v="0.93"/>
    <n v="3293"/>
    <x v="1"/>
  </r>
  <r>
    <n v="80"/>
    <s v="User74"/>
    <s v="Test74"/>
    <x v="2"/>
    <s v="Lucknow"/>
    <x v="6"/>
    <x v="6"/>
    <n v="226"/>
    <n v="8"/>
    <n v="0.96"/>
    <n v="2873"/>
    <x v="1"/>
  </r>
  <r>
    <n v="80"/>
    <s v="User74"/>
    <s v="Test74"/>
    <x v="2"/>
    <s v="Lucknow"/>
    <x v="6"/>
    <x v="7"/>
    <n v="166"/>
    <n v="6"/>
    <n v="0.96"/>
    <n v="2243"/>
    <x v="1"/>
  </r>
  <r>
    <n v="80"/>
    <s v="User74"/>
    <s v="Test74"/>
    <x v="2"/>
    <s v="Lucknow"/>
    <x v="6"/>
    <x v="8"/>
    <n v="227"/>
    <n v="9"/>
    <n v="0.9"/>
    <n v="2883.5"/>
    <x v="1"/>
  </r>
  <r>
    <n v="80"/>
    <s v="User74"/>
    <s v="Test74"/>
    <x v="2"/>
    <s v="Lucknow"/>
    <x v="6"/>
    <x v="9"/>
    <n v="229"/>
    <n v="8"/>
    <n v="0.95"/>
    <n v="2904.5"/>
    <x v="1"/>
  </r>
  <r>
    <n v="80"/>
    <s v="User74"/>
    <s v="Test74"/>
    <x v="2"/>
    <s v="Lucknow"/>
    <x v="6"/>
    <x v="10"/>
    <n v="249"/>
    <n v="3"/>
    <n v="0.99"/>
    <n v="3114.5"/>
    <x v="1"/>
  </r>
  <r>
    <n v="80"/>
    <s v="User74"/>
    <s v="Test74"/>
    <x v="2"/>
    <s v="Lucknow"/>
    <x v="6"/>
    <x v="11"/>
    <n v="361"/>
    <n v="8"/>
    <n v="0.94"/>
    <n v="4290.5"/>
    <x v="1"/>
  </r>
  <r>
    <n v="81"/>
    <s v="User75"/>
    <s v="Test75"/>
    <x v="3"/>
    <s v="Mumbai"/>
    <x v="0"/>
    <x v="0"/>
    <n v="210"/>
    <n v="9"/>
    <n v="0.97"/>
    <n v="1083"/>
    <x v="1"/>
  </r>
  <r>
    <n v="81"/>
    <s v="User75"/>
    <s v="Test75"/>
    <x v="3"/>
    <s v="Mumbai"/>
    <x v="0"/>
    <x v="1"/>
    <n v="226"/>
    <n v="5"/>
    <n v="0.87"/>
    <n v="1159.8"/>
    <x v="1"/>
  </r>
  <r>
    <n v="81"/>
    <s v="User75"/>
    <s v="Test75"/>
    <x v="3"/>
    <s v="Mumbai"/>
    <x v="0"/>
    <x v="2"/>
    <n v="378"/>
    <n v="10"/>
    <n v="0.92"/>
    <n v="1889.4"/>
    <x v="1"/>
  </r>
  <r>
    <n v="81"/>
    <s v="User75"/>
    <s v="Test75"/>
    <x v="3"/>
    <s v="Mumbai"/>
    <x v="0"/>
    <x v="3"/>
    <n v="254"/>
    <n v="3"/>
    <n v="0.87"/>
    <n v="1294.2"/>
    <x v="1"/>
  </r>
  <r>
    <n v="81"/>
    <s v="User75"/>
    <s v="Test75"/>
    <x v="3"/>
    <s v="Mumbai"/>
    <x v="0"/>
    <x v="4"/>
    <n v="360"/>
    <n v="6"/>
    <n v="0.88"/>
    <n v="1803"/>
    <x v="1"/>
  </r>
  <r>
    <n v="81"/>
    <s v="User75"/>
    <s v="Test75"/>
    <x v="3"/>
    <s v="Mumbai"/>
    <x v="0"/>
    <x v="5"/>
    <n v="232"/>
    <n v="8"/>
    <n v="0.87"/>
    <n v="1188.5999999999999"/>
    <x v="1"/>
  </r>
  <r>
    <n v="81"/>
    <s v="User75"/>
    <s v="Test75"/>
    <x v="3"/>
    <s v="Mumbai"/>
    <x v="0"/>
    <x v="6"/>
    <n v="338"/>
    <n v="5"/>
    <n v="0.93"/>
    <n v="1697.4"/>
    <x v="1"/>
  </r>
  <r>
    <n v="81"/>
    <s v="User75"/>
    <s v="Test75"/>
    <x v="3"/>
    <s v="Mumbai"/>
    <x v="0"/>
    <x v="7"/>
    <n v="375"/>
    <n v="4"/>
    <n v="0.89"/>
    <n v="1875"/>
    <x v="1"/>
  </r>
  <r>
    <n v="81"/>
    <s v="User75"/>
    <s v="Test75"/>
    <x v="3"/>
    <s v="Mumbai"/>
    <x v="0"/>
    <x v="8"/>
    <n v="321"/>
    <n v="2"/>
    <n v="0.92"/>
    <n v="1615.8"/>
    <x v="1"/>
  </r>
  <r>
    <n v="81"/>
    <s v="User75"/>
    <s v="Test75"/>
    <x v="3"/>
    <s v="Mumbai"/>
    <x v="0"/>
    <x v="9"/>
    <n v="350"/>
    <n v="5"/>
    <n v="0.92"/>
    <n v="1755"/>
    <x v="0"/>
  </r>
  <r>
    <n v="81"/>
    <s v="User75"/>
    <s v="Test75"/>
    <x v="3"/>
    <s v="Mumbai"/>
    <x v="0"/>
    <x v="10"/>
    <n v="219"/>
    <n v="6"/>
    <n v="0.96"/>
    <n v="1126.2"/>
    <x v="1"/>
  </r>
  <r>
    <n v="81"/>
    <s v="User75"/>
    <s v="Test75"/>
    <x v="3"/>
    <s v="Mumbai"/>
    <x v="0"/>
    <x v="11"/>
    <n v="163"/>
    <n v="8"/>
    <n v="0.96"/>
    <n v="857.4"/>
    <x v="1"/>
  </r>
  <r>
    <n v="82"/>
    <s v="User76"/>
    <s v="Test76"/>
    <x v="0"/>
    <s v="Pune"/>
    <x v="0"/>
    <x v="0"/>
    <n v="285"/>
    <n v="3"/>
    <n v="0.97"/>
    <n v="1952.5"/>
    <x v="1"/>
  </r>
  <r>
    <n v="82"/>
    <s v="User76"/>
    <s v="Test76"/>
    <x v="0"/>
    <s v="Pune"/>
    <x v="0"/>
    <x v="1"/>
    <n v="233"/>
    <n v="8"/>
    <n v="0.91"/>
    <n v="1614.5"/>
    <x v="1"/>
  </r>
  <r>
    <n v="82"/>
    <s v="User76"/>
    <s v="Test76"/>
    <x v="0"/>
    <s v="Pune"/>
    <x v="0"/>
    <x v="2"/>
    <n v="365"/>
    <n v="7"/>
    <n v="0.86"/>
    <n v="2472.5"/>
    <x v="0"/>
  </r>
  <r>
    <n v="82"/>
    <s v="User76"/>
    <s v="Test76"/>
    <x v="0"/>
    <s v="Pune"/>
    <x v="0"/>
    <x v="3"/>
    <n v="389"/>
    <n v="4"/>
    <n v="0.93"/>
    <n v="2628.5"/>
    <x v="0"/>
  </r>
  <r>
    <n v="82"/>
    <s v="User76"/>
    <s v="Test76"/>
    <x v="0"/>
    <s v="Pune"/>
    <x v="0"/>
    <x v="4"/>
    <n v="287"/>
    <n v="6"/>
    <n v="0.93"/>
    <n v="1965.5"/>
    <x v="1"/>
  </r>
  <r>
    <n v="82"/>
    <s v="User76"/>
    <s v="Test76"/>
    <x v="0"/>
    <s v="Pune"/>
    <x v="0"/>
    <x v="5"/>
    <n v="214"/>
    <n v="10"/>
    <n v="0.92"/>
    <n v="1491"/>
    <x v="1"/>
  </r>
  <r>
    <n v="82"/>
    <s v="User76"/>
    <s v="Test76"/>
    <x v="0"/>
    <s v="Pune"/>
    <x v="0"/>
    <x v="6"/>
    <n v="173"/>
    <n v="3"/>
    <n v="0.9"/>
    <n v="1224.5"/>
    <x v="1"/>
  </r>
  <r>
    <n v="82"/>
    <s v="User76"/>
    <s v="Test76"/>
    <x v="0"/>
    <s v="Pune"/>
    <x v="0"/>
    <x v="7"/>
    <n v="314"/>
    <n v="3"/>
    <n v="0.98"/>
    <n v="2141"/>
    <x v="1"/>
  </r>
  <r>
    <n v="82"/>
    <s v="User76"/>
    <s v="Test76"/>
    <x v="0"/>
    <s v="Pune"/>
    <x v="0"/>
    <x v="8"/>
    <n v="318"/>
    <n v="6"/>
    <n v="0.9"/>
    <n v="2167"/>
    <x v="1"/>
  </r>
  <r>
    <n v="82"/>
    <s v="User76"/>
    <s v="Test76"/>
    <x v="0"/>
    <s v="Pune"/>
    <x v="0"/>
    <x v="9"/>
    <n v="300"/>
    <n v="7"/>
    <n v="0.97"/>
    <n v="2050"/>
    <x v="1"/>
  </r>
  <r>
    <n v="82"/>
    <s v="User76"/>
    <s v="Test76"/>
    <x v="0"/>
    <s v="Pune"/>
    <x v="0"/>
    <x v="10"/>
    <n v="372"/>
    <n v="7"/>
    <n v="0.97"/>
    <n v="2518"/>
    <x v="1"/>
  </r>
  <r>
    <n v="82"/>
    <s v="User76"/>
    <s v="Test76"/>
    <x v="0"/>
    <s v="Pune"/>
    <x v="0"/>
    <x v="11"/>
    <n v="350"/>
    <n v="10"/>
    <n v="0.86"/>
    <n v="2375"/>
    <x v="1"/>
  </r>
  <r>
    <n v="83"/>
    <s v="User77"/>
    <s v="Test77"/>
    <x v="1"/>
    <s v="Nagpur"/>
    <x v="0"/>
    <x v="0"/>
    <n v="263"/>
    <n v="3"/>
    <n v="0.91"/>
    <n v="2406.6"/>
    <x v="0"/>
  </r>
  <r>
    <n v="83"/>
    <s v="User77"/>
    <s v="Test77"/>
    <x v="1"/>
    <s v="Nagpur"/>
    <x v="0"/>
    <x v="1"/>
    <n v="303"/>
    <n v="8"/>
    <n v="0.85"/>
    <n v="2734.6"/>
    <x v="1"/>
  </r>
  <r>
    <n v="83"/>
    <s v="User77"/>
    <s v="Test77"/>
    <x v="1"/>
    <s v="Nagpur"/>
    <x v="0"/>
    <x v="2"/>
    <n v="357"/>
    <n v="2"/>
    <n v="0.95"/>
    <n v="3177.4"/>
    <x v="0"/>
  </r>
  <r>
    <n v="83"/>
    <s v="User77"/>
    <s v="Test77"/>
    <x v="1"/>
    <s v="Nagpur"/>
    <x v="0"/>
    <x v="3"/>
    <n v="248"/>
    <n v="7"/>
    <n v="0.96"/>
    <n v="2283.6"/>
    <x v="0"/>
  </r>
  <r>
    <n v="83"/>
    <s v="User77"/>
    <s v="Test77"/>
    <x v="1"/>
    <s v="Nagpur"/>
    <x v="0"/>
    <x v="4"/>
    <n v="287"/>
    <n v="10"/>
    <n v="0.89"/>
    <n v="2603.4"/>
    <x v="0"/>
  </r>
  <r>
    <n v="83"/>
    <s v="User77"/>
    <s v="Test77"/>
    <x v="1"/>
    <s v="Nagpur"/>
    <x v="0"/>
    <x v="5"/>
    <n v="301"/>
    <n v="6"/>
    <n v="0.94"/>
    <n v="2718.2"/>
    <x v="1"/>
  </r>
  <r>
    <n v="83"/>
    <s v="User77"/>
    <s v="Test77"/>
    <x v="1"/>
    <s v="Nagpur"/>
    <x v="0"/>
    <x v="6"/>
    <n v="277"/>
    <n v="4"/>
    <n v="0.89"/>
    <n v="2521.4"/>
    <x v="1"/>
  </r>
  <r>
    <n v="83"/>
    <s v="User77"/>
    <s v="Test77"/>
    <x v="1"/>
    <s v="Nagpur"/>
    <x v="0"/>
    <x v="7"/>
    <n v="317"/>
    <n v="2"/>
    <n v="0.92"/>
    <n v="2849.4"/>
    <x v="1"/>
  </r>
  <r>
    <n v="83"/>
    <s v="User77"/>
    <s v="Test77"/>
    <x v="1"/>
    <s v="Nagpur"/>
    <x v="0"/>
    <x v="8"/>
    <n v="209"/>
    <n v="8"/>
    <n v="0.91"/>
    <n v="1963.8"/>
    <x v="1"/>
  </r>
  <r>
    <n v="83"/>
    <s v="User77"/>
    <s v="Test77"/>
    <x v="1"/>
    <s v="Nagpur"/>
    <x v="0"/>
    <x v="9"/>
    <n v="156"/>
    <n v="6"/>
    <n v="0.89"/>
    <n v="1529.2"/>
    <x v="0"/>
  </r>
  <r>
    <n v="83"/>
    <s v="User77"/>
    <s v="Test77"/>
    <x v="1"/>
    <s v="Nagpur"/>
    <x v="0"/>
    <x v="10"/>
    <n v="198"/>
    <n v="2"/>
    <n v="0.96"/>
    <n v="1873.6"/>
    <x v="1"/>
  </r>
  <r>
    <n v="83"/>
    <s v="User77"/>
    <s v="Test77"/>
    <x v="1"/>
    <s v="Nagpur"/>
    <x v="0"/>
    <x v="11"/>
    <n v="373"/>
    <n v="5"/>
    <n v="0.9"/>
    <n v="3308.6"/>
    <x v="0"/>
  </r>
  <r>
    <n v="84"/>
    <s v="User78"/>
    <s v="Test78"/>
    <x v="2"/>
    <s v="Ahmedabad"/>
    <x v="1"/>
    <x v="0"/>
    <n v="334"/>
    <n v="7"/>
    <n v="0.98"/>
    <n v="4007"/>
    <x v="1"/>
  </r>
  <r>
    <n v="84"/>
    <s v="User78"/>
    <s v="Test78"/>
    <x v="2"/>
    <s v="Ahmedabad"/>
    <x v="1"/>
    <x v="1"/>
    <n v="372"/>
    <n v="10"/>
    <n v="0.98"/>
    <n v="4406"/>
    <x v="1"/>
  </r>
  <r>
    <n v="84"/>
    <s v="User78"/>
    <s v="Test78"/>
    <x v="2"/>
    <s v="Ahmedabad"/>
    <x v="1"/>
    <x v="2"/>
    <n v="191"/>
    <n v="9"/>
    <n v="0.97"/>
    <n v="2505.5"/>
    <x v="1"/>
  </r>
  <r>
    <n v="84"/>
    <s v="User78"/>
    <s v="Test78"/>
    <x v="2"/>
    <s v="Ahmedabad"/>
    <x v="1"/>
    <x v="3"/>
    <n v="347"/>
    <n v="8"/>
    <n v="0.93"/>
    <n v="4143.5"/>
    <x v="1"/>
  </r>
  <r>
    <n v="84"/>
    <s v="User78"/>
    <s v="Test78"/>
    <x v="2"/>
    <s v="Ahmedabad"/>
    <x v="1"/>
    <x v="4"/>
    <n v="398"/>
    <n v="5"/>
    <n v="0.92"/>
    <n v="4679"/>
    <x v="1"/>
  </r>
  <r>
    <n v="84"/>
    <s v="User78"/>
    <s v="Test78"/>
    <x v="2"/>
    <s v="Ahmedabad"/>
    <x v="1"/>
    <x v="5"/>
    <n v="253"/>
    <n v="10"/>
    <n v="0.93"/>
    <n v="3156.5"/>
    <x v="1"/>
  </r>
  <r>
    <n v="84"/>
    <s v="User78"/>
    <s v="Test78"/>
    <x v="2"/>
    <s v="Ahmedabad"/>
    <x v="1"/>
    <x v="6"/>
    <n v="395"/>
    <n v="7"/>
    <n v="0.89"/>
    <n v="4647.5"/>
    <x v="1"/>
  </r>
  <r>
    <n v="84"/>
    <s v="User78"/>
    <s v="Test78"/>
    <x v="2"/>
    <s v="Ahmedabad"/>
    <x v="1"/>
    <x v="7"/>
    <n v="373"/>
    <n v="3"/>
    <n v="0.86"/>
    <n v="4416.5"/>
    <x v="1"/>
  </r>
  <r>
    <n v="84"/>
    <s v="User78"/>
    <s v="Test78"/>
    <x v="2"/>
    <s v="Ahmedabad"/>
    <x v="1"/>
    <x v="8"/>
    <n v="256"/>
    <n v="8"/>
    <n v="0.95"/>
    <n v="3188"/>
    <x v="1"/>
  </r>
  <r>
    <n v="84"/>
    <s v="User78"/>
    <s v="Test78"/>
    <x v="2"/>
    <s v="Ahmedabad"/>
    <x v="1"/>
    <x v="9"/>
    <n v="339"/>
    <n v="8"/>
    <n v="0.98"/>
    <n v="4059.5"/>
    <x v="1"/>
  </r>
  <r>
    <n v="84"/>
    <s v="User78"/>
    <s v="Test78"/>
    <x v="2"/>
    <s v="Ahmedabad"/>
    <x v="1"/>
    <x v="10"/>
    <n v="387"/>
    <n v="7"/>
    <n v="0.88"/>
    <n v="4563.5"/>
    <x v="1"/>
  </r>
  <r>
    <n v="84"/>
    <s v="User78"/>
    <s v="Test78"/>
    <x v="2"/>
    <s v="Ahmedabad"/>
    <x v="1"/>
    <x v="11"/>
    <n v="394"/>
    <n v="8"/>
    <n v="0.94"/>
    <n v="4637"/>
    <x v="1"/>
  </r>
  <r>
    <n v="85"/>
    <s v="User79"/>
    <s v="Test79"/>
    <x v="3"/>
    <s v="Surat"/>
    <x v="1"/>
    <x v="0"/>
    <n v="324"/>
    <n v="10"/>
    <n v="0.91"/>
    <n v="1630.2"/>
    <x v="0"/>
  </r>
  <r>
    <n v="85"/>
    <s v="User79"/>
    <s v="Test79"/>
    <x v="3"/>
    <s v="Surat"/>
    <x v="1"/>
    <x v="1"/>
    <n v="350"/>
    <n v="4"/>
    <n v="0.95"/>
    <n v="1755"/>
    <x v="1"/>
  </r>
  <r>
    <n v="85"/>
    <s v="User79"/>
    <s v="Test79"/>
    <x v="3"/>
    <s v="Surat"/>
    <x v="1"/>
    <x v="2"/>
    <n v="159"/>
    <n v="7"/>
    <n v="0.91"/>
    <n v="838.2"/>
    <x v="0"/>
  </r>
  <r>
    <n v="85"/>
    <s v="User79"/>
    <s v="Test79"/>
    <x v="3"/>
    <s v="Surat"/>
    <x v="1"/>
    <x v="3"/>
    <n v="268"/>
    <n v="4"/>
    <n v="0.9"/>
    <n v="1361.4"/>
    <x v="1"/>
  </r>
  <r>
    <n v="85"/>
    <s v="User79"/>
    <s v="Test79"/>
    <x v="3"/>
    <s v="Surat"/>
    <x v="1"/>
    <x v="4"/>
    <n v="195"/>
    <n v="2"/>
    <n v="0.86"/>
    <n v="1011"/>
    <x v="1"/>
  </r>
  <r>
    <n v="85"/>
    <s v="User79"/>
    <s v="Test79"/>
    <x v="3"/>
    <s v="Surat"/>
    <x v="1"/>
    <x v="5"/>
    <n v="376"/>
    <n v="10"/>
    <n v="0.92"/>
    <n v="1879.8"/>
    <x v="1"/>
  </r>
  <r>
    <n v="85"/>
    <s v="User79"/>
    <s v="Test79"/>
    <x v="3"/>
    <s v="Surat"/>
    <x v="1"/>
    <x v="6"/>
    <n v="253"/>
    <n v="10"/>
    <n v="0.94"/>
    <n v="1289.4000000000001"/>
    <x v="1"/>
  </r>
  <r>
    <n v="85"/>
    <s v="User79"/>
    <s v="Test79"/>
    <x v="3"/>
    <s v="Surat"/>
    <x v="1"/>
    <x v="7"/>
    <n v="356"/>
    <n v="6"/>
    <n v="0.89"/>
    <n v="1783.8"/>
    <x v="0"/>
  </r>
  <r>
    <n v="85"/>
    <s v="User79"/>
    <s v="Test79"/>
    <x v="3"/>
    <s v="Surat"/>
    <x v="1"/>
    <x v="8"/>
    <n v="160"/>
    <n v="7"/>
    <n v="0.9"/>
    <n v="843"/>
    <x v="1"/>
  </r>
  <r>
    <n v="85"/>
    <s v="User79"/>
    <s v="Test79"/>
    <x v="3"/>
    <s v="Surat"/>
    <x v="1"/>
    <x v="9"/>
    <n v="375"/>
    <n v="3"/>
    <n v="0.99"/>
    <n v="1875"/>
    <x v="1"/>
  </r>
  <r>
    <n v="85"/>
    <s v="User79"/>
    <s v="Test79"/>
    <x v="3"/>
    <s v="Surat"/>
    <x v="1"/>
    <x v="10"/>
    <n v="310"/>
    <n v="6"/>
    <n v="0.91"/>
    <n v="1563"/>
    <x v="0"/>
  </r>
  <r>
    <n v="85"/>
    <s v="User79"/>
    <s v="Test79"/>
    <x v="3"/>
    <s v="Surat"/>
    <x v="1"/>
    <x v="11"/>
    <n v="290"/>
    <n v="10"/>
    <n v="0.86"/>
    <n v="1467"/>
    <x v="1"/>
  </r>
  <r>
    <n v="86"/>
    <s v="User80"/>
    <s v="Test80"/>
    <x v="0"/>
    <s v="Vadodara"/>
    <x v="1"/>
    <x v="0"/>
    <n v="282"/>
    <n v="8"/>
    <n v="0.86"/>
    <n v="1933"/>
    <x v="1"/>
  </r>
  <r>
    <n v="86"/>
    <s v="User80"/>
    <s v="Test80"/>
    <x v="0"/>
    <s v="Vadodara"/>
    <x v="1"/>
    <x v="1"/>
    <n v="284"/>
    <n v="3"/>
    <n v="0.96"/>
    <n v="1946"/>
    <x v="1"/>
  </r>
  <r>
    <n v="86"/>
    <s v="User80"/>
    <s v="Test80"/>
    <x v="0"/>
    <s v="Vadodara"/>
    <x v="1"/>
    <x v="2"/>
    <n v="323"/>
    <n v="5"/>
    <n v="0.96"/>
    <n v="2199.5"/>
    <x v="1"/>
  </r>
  <r>
    <n v="86"/>
    <s v="User80"/>
    <s v="Test80"/>
    <x v="0"/>
    <s v="Vadodara"/>
    <x v="1"/>
    <x v="3"/>
    <n v="335"/>
    <n v="10"/>
    <n v="0.91"/>
    <n v="2277.5"/>
    <x v="1"/>
  </r>
  <r>
    <n v="86"/>
    <s v="User80"/>
    <s v="Test80"/>
    <x v="0"/>
    <s v="Vadodara"/>
    <x v="1"/>
    <x v="4"/>
    <n v="169"/>
    <n v="2"/>
    <n v="0.97"/>
    <n v="1198.5"/>
    <x v="1"/>
  </r>
  <r>
    <n v="86"/>
    <s v="User80"/>
    <s v="Test80"/>
    <x v="0"/>
    <s v="Vadodara"/>
    <x v="1"/>
    <x v="5"/>
    <n v="160"/>
    <n v="9"/>
    <n v="0.85"/>
    <n v="1140"/>
    <x v="0"/>
  </r>
  <r>
    <n v="86"/>
    <s v="User80"/>
    <s v="Test80"/>
    <x v="0"/>
    <s v="Vadodara"/>
    <x v="1"/>
    <x v="6"/>
    <n v="172"/>
    <n v="4"/>
    <n v="0.91"/>
    <n v="1218"/>
    <x v="1"/>
  </r>
  <r>
    <n v="86"/>
    <s v="User80"/>
    <s v="Test80"/>
    <x v="0"/>
    <s v="Vadodara"/>
    <x v="1"/>
    <x v="7"/>
    <n v="259"/>
    <n v="5"/>
    <n v="0.99"/>
    <n v="1783.5"/>
    <x v="1"/>
  </r>
  <r>
    <n v="86"/>
    <s v="User80"/>
    <s v="Test80"/>
    <x v="0"/>
    <s v="Vadodara"/>
    <x v="1"/>
    <x v="8"/>
    <n v="328"/>
    <n v="8"/>
    <n v="0.98"/>
    <n v="2232"/>
    <x v="1"/>
  </r>
  <r>
    <n v="86"/>
    <s v="User80"/>
    <s v="Test80"/>
    <x v="0"/>
    <s v="Vadodara"/>
    <x v="1"/>
    <x v="9"/>
    <n v="308"/>
    <n v="9"/>
    <n v="0.87"/>
    <n v="2102"/>
    <x v="1"/>
  </r>
  <r>
    <n v="86"/>
    <s v="User80"/>
    <s v="Test80"/>
    <x v="0"/>
    <s v="Vadodara"/>
    <x v="1"/>
    <x v="10"/>
    <n v="258"/>
    <n v="3"/>
    <n v="0.9"/>
    <n v="1777"/>
    <x v="1"/>
  </r>
  <r>
    <n v="86"/>
    <s v="User80"/>
    <s v="Test80"/>
    <x v="0"/>
    <s v="Vadodara"/>
    <x v="1"/>
    <x v="11"/>
    <n v="378"/>
    <n v="4"/>
    <n v="0.89"/>
    <n v="2557"/>
    <x v="0"/>
  </r>
  <r>
    <n v="87"/>
    <s v="User81"/>
    <s v="Test81"/>
    <x v="1"/>
    <s v="Jaipur"/>
    <x v="3"/>
    <x v="0"/>
    <n v="377"/>
    <n v="5"/>
    <n v="0.87"/>
    <n v="3341.4"/>
    <x v="1"/>
  </r>
  <r>
    <n v="87"/>
    <s v="User81"/>
    <s v="Test81"/>
    <x v="1"/>
    <s v="Jaipur"/>
    <x v="3"/>
    <x v="1"/>
    <n v="302"/>
    <n v="8"/>
    <n v="0.87"/>
    <n v="2726.4"/>
    <x v="1"/>
  </r>
  <r>
    <n v="87"/>
    <s v="User81"/>
    <s v="Test81"/>
    <x v="1"/>
    <s v="Jaipur"/>
    <x v="3"/>
    <x v="2"/>
    <n v="333"/>
    <n v="9"/>
    <n v="0.95"/>
    <n v="2980.6"/>
    <x v="1"/>
  </r>
  <r>
    <n v="87"/>
    <s v="User81"/>
    <s v="Test81"/>
    <x v="1"/>
    <s v="Jaipur"/>
    <x v="3"/>
    <x v="3"/>
    <n v="240"/>
    <n v="10"/>
    <n v="0.96"/>
    <n v="2218"/>
    <x v="1"/>
  </r>
  <r>
    <n v="87"/>
    <s v="User81"/>
    <s v="Test81"/>
    <x v="1"/>
    <s v="Jaipur"/>
    <x v="3"/>
    <x v="4"/>
    <n v="195"/>
    <n v="4"/>
    <n v="0.95"/>
    <n v="1849"/>
    <x v="0"/>
  </r>
  <r>
    <n v="87"/>
    <s v="User81"/>
    <s v="Test81"/>
    <x v="1"/>
    <s v="Jaipur"/>
    <x v="3"/>
    <x v="5"/>
    <n v="360"/>
    <n v="7"/>
    <n v="0.99"/>
    <n v="3202"/>
    <x v="1"/>
  </r>
  <r>
    <n v="87"/>
    <s v="User81"/>
    <s v="Test81"/>
    <x v="1"/>
    <s v="Jaipur"/>
    <x v="3"/>
    <x v="6"/>
    <n v="275"/>
    <n v="2"/>
    <n v="0.93"/>
    <n v="2505"/>
    <x v="1"/>
  </r>
  <r>
    <n v="87"/>
    <s v="User81"/>
    <s v="Test81"/>
    <x v="1"/>
    <s v="Jaipur"/>
    <x v="3"/>
    <x v="7"/>
    <n v="346"/>
    <n v="6"/>
    <n v="0.95"/>
    <n v="3087.2"/>
    <x v="1"/>
  </r>
  <r>
    <n v="87"/>
    <s v="User81"/>
    <s v="Test81"/>
    <x v="1"/>
    <s v="Jaipur"/>
    <x v="3"/>
    <x v="8"/>
    <n v="191"/>
    <n v="3"/>
    <n v="0.85"/>
    <n v="1816.2"/>
    <x v="1"/>
  </r>
  <r>
    <n v="87"/>
    <s v="User81"/>
    <s v="Test81"/>
    <x v="1"/>
    <s v="Jaipur"/>
    <x v="3"/>
    <x v="9"/>
    <n v="269"/>
    <n v="9"/>
    <n v="0.9"/>
    <n v="2455.8000000000002"/>
    <x v="1"/>
  </r>
  <r>
    <n v="87"/>
    <s v="User81"/>
    <s v="Test81"/>
    <x v="1"/>
    <s v="Jaipur"/>
    <x v="3"/>
    <x v="10"/>
    <n v="383"/>
    <n v="5"/>
    <n v="0.91"/>
    <n v="3390.6"/>
    <x v="0"/>
  </r>
  <r>
    <n v="87"/>
    <s v="User81"/>
    <s v="Test81"/>
    <x v="1"/>
    <s v="Jaipur"/>
    <x v="3"/>
    <x v="11"/>
    <n v="174"/>
    <n v="2"/>
    <n v="0.9"/>
    <n v="1676.8"/>
    <x v="1"/>
  </r>
  <r>
    <n v="88"/>
    <s v="User82"/>
    <s v="Test82"/>
    <x v="2"/>
    <s v="Udaipur"/>
    <x v="3"/>
    <x v="0"/>
    <n v="277"/>
    <n v="10"/>
    <n v="0.91"/>
    <n v="3408.5"/>
    <x v="1"/>
  </r>
  <r>
    <n v="88"/>
    <s v="User82"/>
    <s v="Test82"/>
    <x v="2"/>
    <s v="Udaipur"/>
    <x v="3"/>
    <x v="1"/>
    <n v="255"/>
    <n v="4"/>
    <n v="0.91"/>
    <n v="3177.5"/>
    <x v="1"/>
  </r>
  <r>
    <n v="88"/>
    <s v="User82"/>
    <s v="Test82"/>
    <x v="2"/>
    <s v="Udaipur"/>
    <x v="3"/>
    <x v="2"/>
    <n v="167"/>
    <n v="10"/>
    <n v="0.9"/>
    <n v="2253.5"/>
    <x v="1"/>
  </r>
  <r>
    <n v="88"/>
    <s v="User82"/>
    <s v="Test82"/>
    <x v="2"/>
    <s v="Udaipur"/>
    <x v="3"/>
    <x v="3"/>
    <n v="381"/>
    <n v="2"/>
    <n v="0.99"/>
    <n v="4500.5"/>
    <x v="1"/>
  </r>
  <r>
    <n v="88"/>
    <s v="User82"/>
    <s v="Test82"/>
    <x v="2"/>
    <s v="Udaipur"/>
    <x v="3"/>
    <x v="4"/>
    <n v="220"/>
    <n v="10"/>
    <n v="0.86"/>
    <n v="2810"/>
    <x v="1"/>
  </r>
  <r>
    <n v="88"/>
    <s v="User82"/>
    <s v="Test82"/>
    <x v="2"/>
    <s v="Udaipur"/>
    <x v="3"/>
    <x v="5"/>
    <n v="226"/>
    <n v="3"/>
    <n v="0.9"/>
    <n v="2873"/>
    <x v="1"/>
  </r>
  <r>
    <n v="88"/>
    <s v="User82"/>
    <s v="Test82"/>
    <x v="2"/>
    <s v="Udaipur"/>
    <x v="3"/>
    <x v="6"/>
    <n v="307"/>
    <n v="10"/>
    <n v="0.97"/>
    <n v="3723.5"/>
    <x v="1"/>
  </r>
  <r>
    <n v="88"/>
    <s v="User82"/>
    <s v="Test82"/>
    <x v="2"/>
    <s v="Udaipur"/>
    <x v="3"/>
    <x v="7"/>
    <n v="330"/>
    <n v="2"/>
    <n v="0.93"/>
    <n v="3965"/>
    <x v="1"/>
  </r>
  <r>
    <n v="88"/>
    <s v="User82"/>
    <s v="Test82"/>
    <x v="2"/>
    <s v="Udaipur"/>
    <x v="3"/>
    <x v="8"/>
    <n v="271"/>
    <n v="9"/>
    <n v="0.93"/>
    <n v="3345.5"/>
    <x v="1"/>
  </r>
  <r>
    <n v="88"/>
    <s v="User82"/>
    <s v="Test82"/>
    <x v="2"/>
    <s v="Udaipur"/>
    <x v="3"/>
    <x v="9"/>
    <n v="226"/>
    <n v="5"/>
    <n v="0.97"/>
    <n v="2873"/>
    <x v="1"/>
  </r>
  <r>
    <n v="88"/>
    <s v="User82"/>
    <s v="Test82"/>
    <x v="2"/>
    <s v="Udaipur"/>
    <x v="3"/>
    <x v="10"/>
    <n v="193"/>
    <n v="9"/>
    <n v="0.89"/>
    <n v="2526.5"/>
    <x v="0"/>
  </r>
  <r>
    <n v="88"/>
    <s v="User82"/>
    <s v="Test82"/>
    <x v="2"/>
    <s v="Udaipur"/>
    <x v="3"/>
    <x v="11"/>
    <n v="271"/>
    <n v="6"/>
    <n v="0.93"/>
    <n v="3345.5"/>
    <x v="1"/>
  </r>
  <r>
    <n v="89"/>
    <s v="User83"/>
    <s v="Test83"/>
    <x v="3"/>
    <s v="Jodhpur"/>
    <x v="3"/>
    <x v="0"/>
    <n v="271"/>
    <n v="3"/>
    <n v="0.98"/>
    <n v="1375.8"/>
    <x v="1"/>
  </r>
  <r>
    <n v="89"/>
    <s v="User83"/>
    <s v="Test83"/>
    <x v="3"/>
    <s v="Jodhpur"/>
    <x v="3"/>
    <x v="1"/>
    <n v="235"/>
    <n v="2"/>
    <n v="0.92"/>
    <n v="1203"/>
    <x v="0"/>
  </r>
  <r>
    <n v="89"/>
    <s v="User83"/>
    <s v="Test83"/>
    <x v="3"/>
    <s v="Jodhpur"/>
    <x v="3"/>
    <x v="2"/>
    <n v="150"/>
    <n v="5"/>
    <n v="0.98"/>
    <n v="795"/>
    <x v="1"/>
  </r>
  <r>
    <n v="89"/>
    <s v="User83"/>
    <s v="Test83"/>
    <x v="3"/>
    <s v="Jodhpur"/>
    <x v="3"/>
    <x v="3"/>
    <n v="348"/>
    <n v="6"/>
    <n v="0.93"/>
    <n v="1745.4"/>
    <x v="1"/>
  </r>
  <r>
    <n v="89"/>
    <s v="User83"/>
    <s v="Test83"/>
    <x v="3"/>
    <s v="Jodhpur"/>
    <x v="3"/>
    <x v="4"/>
    <n v="273"/>
    <n v="9"/>
    <n v="0.95"/>
    <n v="1385.4"/>
    <x v="1"/>
  </r>
  <r>
    <n v="89"/>
    <s v="User83"/>
    <s v="Test83"/>
    <x v="3"/>
    <s v="Jodhpur"/>
    <x v="3"/>
    <x v="5"/>
    <n v="195"/>
    <n v="4"/>
    <n v="0.99"/>
    <n v="1011"/>
    <x v="1"/>
  </r>
  <r>
    <n v="89"/>
    <s v="User83"/>
    <s v="Test83"/>
    <x v="3"/>
    <s v="Jodhpur"/>
    <x v="3"/>
    <x v="6"/>
    <n v="241"/>
    <n v="2"/>
    <n v="0.87"/>
    <n v="1231.8"/>
    <x v="1"/>
  </r>
  <r>
    <n v="89"/>
    <s v="User83"/>
    <s v="Test83"/>
    <x v="3"/>
    <s v="Jodhpur"/>
    <x v="3"/>
    <x v="7"/>
    <n v="240"/>
    <n v="5"/>
    <n v="0.97"/>
    <n v="1227"/>
    <x v="1"/>
  </r>
  <r>
    <n v="89"/>
    <s v="User83"/>
    <s v="Test83"/>
    <x v="3"/>
    <s v="Jodhpur"/>
    <x v="3"/>
    <x v="8"/>
    <n v="349"/>
    <n v="7"/>
    <n v="0.98"/>
    <n v="1750.2"/>
    <x v="1"/>
  </r>
  <r>
    <n v="89"/>
    <s v="User83"/>
    <s v="Test83"/>
    <x v="3"/>
    <s v="Jodhpur"/>
    <x v="3"/>
    <x v="9"/>
    <n v="382"/>
    <n v="8"/>
    <n v="0.96"/>
    <n v="1908.6"/>
    <x v="1"/>
  </r>
  <r>
    <n v="89"/>
    <s v="User83"/>
    <s v="Test83"/>
    <x v="3"/>
    <s v="Jodhpur"/>
    <x v="3"/>
    <x v="10"/>
    <n v="203"/>
    <n v="2"/>
    <n v="0.94"/>
    <n v="1049.4000000000001"/>
    <x v="1"/>
  </r>
  <r>
    <n v="89"/>
    <s v="User83"/>
    <s v="Test83"/>
    <x v="3"/>
    <s v="Jodhpur"/>
    <x v="3"/>
    <x v="11"/>
    <n v="326"/>
    <n v="5"/>
    <n v="0.97"/>
    <n v="1639.8"/>
    <x v="1"/>
  </r>
  <r>
    <n v="90"/>
    <s v="User84"/>
    <s v="Test84"/>
    <x v="0"/>
    <s v="Bengaluru"/>
    <x v="2"/>
    <x v="0"/>
    <n v="167"/>
    <n v="7"/>
    <n v="0.9"/>
    <n v="1185.5"/>
    <x v="1"/>
  </r>
  <r>
    <n v="90"/>
    <s v="User84"/>
    <s v="Test84"/>
    <x v="0"/>
    <s v="Bengaluru"/>
    <x v="2"/>
    <x v="1"/>
    <n v="155"/>
    <n v="8"/>
    <n v="0.87"/>
    <n v="1107.5"/>
    <x v="1"/>
  </r>
  <r>
    <n v="90"/>
    <s v="User84"/>
    <s v="Test84"/>
    <x v="0"/>
    <s v="Bengaluru"/>
    <x v="2"/>
    <x v="2"/>
    <n v="246"/>
    <n v="4"/>
    <n v="0.86"/>
    <n v="1699"/>
    <x v="1"/>
  </r>
  <r>
    <n v="90"/>
    <s v="User84"/>
    <s v="Test84"/>
    <x v="0"/>
    <s v="Bengaluru"/>
    <x v="2"/>
    <x v="3"/>
    <n v="360"/>
    <n v="10"/>
    <n v="0.98"/>
    <n v="2440"/>
    <x v="1"/>
  </r>
  <r>
    <n v="90"/>
    <s v="User84"/>
    <s v="Test84"/>
    <x v="0"/>
    <s v="Bengaluru"/>
    <x v="2"/>
    <x v="4"/>
    <n v="382"/>
    <n v="8"/>
    <n v="0.97"/>
    <n v="2583"/>
    <x v="1"/>
  </r>
  <r>
    <n v="90"/>
    <s v="User84"/>
    <s v="Test84"/>
    <x v="0"/>
    <s v="Bengaluru"/>
    <x v="2"/>
    <x v="5"/>
    <n v="331"/>
    <n v="9"/>
    <n v="0.89"/>
    <n v="2251.5"/>
    <x v="1"/>
  </r>
  <r>
    <n v="90"/>
    <s v="User84"/>
    <s v="Test84"/>
    <x v="0"/>
    <s v="Bengaluru"/>
    <x v="2"/>
    <x v="6"/>
    <n v="338"/>
    <n v="5"/>
    <n v="0.88"/>
    <n v="2297"/>
    <x v="1"/>
  </r>
  <r>
    <n v="90"/>
    <s v="User84"/>
    <s v="Test84"/>
    <x v="0"/>
    <s v="Bengaluru"/>
    <x v="2"/>
    <x v="7"/>
    <n v="152"/>
    <n v="3"/>
    <n v="0.89"/>
    <n v="1088"/>
    <x v="1"/>
  </r>
  <r>
    <n v="90"/>
    <s v="User84"/>
    <s v="Test84"/>
    <x v="0"/>
    <s v="Bengaluru"/>
    <x v="2"/>
    <x v="8"/>
    <n v="250"/>
    <n v="3"/>
    <n v="0.93"/>
    <n v="1725"/>
    <x v="1"/>
  </r>
  <r>
    <n v="90"/>
    <s v="User84"/>
    <s v="Test84"/>
    <x v="0"/>
    <s v="Bengaluru"/>
    <x v="2"/>
    <x v="9"/>
    <n v="394"/>
    <n v="6"/>
    <n v="0.93"/>
    <n v="2661"/>
    <x v="1"/>
  </r>
  <r>
    <n v="90"/>
    <s v="User84"/>
    <s v="Test84"/>
    <x v="0"/>
    <s v="Bengaluru"/>
    <x v="2"/>
    <x v="10"/>
    <n v="381"/>
    <n v="4"/>
    <n v="0.88"/>
    <n v="2576.5"/>
    <x v="1"/>
  </r>
  <r>
    <n v="90"/>
    <s v="User84"/>
    <s v="Test84"/>
    <x v="0"/>
    <s v="Bengaluru"/>
    <x v="2"/>
    <x v="11"/>
    <n v="304"/>
    <n v="4"/>
    <n v="0.94"/>
    <n v="2076"/>
    <x v="1"/>
  </r>
  <r>
    <n v="91"/>
    <s v="User85"/>
    <s v="Test85"/>
    <x v="1"/>
    <s v="Mysuru"/>
    <x v="2"/>
    <x v="0"/>
    <n v="202"/>
    <n v="3"/>
    <n v="0.98"/>
    <n v="1906.4"/>
    <x v="0"/>
  </r>
  <r>
    <n v="91"/>
    <s v="User85"/>
    <s v="Test85"/>
    <x v="1"/>
    <s v="Mysuru"/>
    <x v="2"/>
    <x v="1"/>
    <n v="185"/>
    <n v="3"/>
    <n v="0.96"/>
    <n v="1767"/>
    <x v="1"/>
  </r>
  <r>
    <n v="91"/>
    <s v="User85"/>
    <s v="Test85"/>
    <x v="1"/>
    <s v="Mysuru"/>
    <x v="2"/>
    <x v="2"/>
    <n v="153"/>
    <n v="3"/>
    <n v="0.93"/>
    <n v="1504.6"/>
    <x v="1"/>
  </r>
  <r>
    <n v="91"/>
    <s v="User85"/>
    <s v="Test85"/>
    <x v="1"/>
    <s v="Mysuru"/>
    <x v="2"/>
    <x v="3"/>
    <n v="243"/>
    <n v="10"/>
    <n v="0.98"/>
    <n v="2242.6"/>
    <x v="1"/>
  </r>
  <r>
    <n v="91"/>
    <s v="User85"/>
    <s v="Test85"/>
    <x v="1"/>
    <s v="Mysuru"/>
    <x v="2"/>
    <x v="4"/>
    <n v="385"/>
    <n v="8"/>
    <n v="0.98"/>
    <n v="3407"/>
    <x v="0"/>
  </r>
  <r>
    <n v="91"/>
    <s v="User85"/>
    <s v="Test85"/>
    <x v="1"/>
    <s v="Mysuru"/>
    <x v="2"/>
    <x v="5"/>
    <n v="387"/>
    <n v="3"/>
    <n v="0.98"/>
    <n v="3423.4"/>
    <x v="0"/>
  </r>
  <r>
    <n v="91"/>
    <s v="User85"/>
    <s v="Test85"/>
    <x v="1"/>
    <s v="Mysuru"/>
    <x v="2"/>
    <x v="6"/>
    <n v="342"/>
    <n v="7"/>
    <n v="0.93"/>
    <n v="3054.4"/>
    <x v="1"/>
  </r>
  <r>
    <n v="91"/>
    <s v="User85"/>
    <s v="Test85"/>
    <x v="1"/>
    <s v="Mysuru"/>
    <x v="2"/>
    <x v="7"/>
    <n v="338"/>
    <n v="4"/>
    <n v="0.88"/>
    <n v="3021.6"/>
    <x v="0"/>
  </r>
  <r>
    <n v="91"/>
    <s v="User85"/>
    <s v="Test85"/>
    <x v="1"/>
    <s v="Mysuru"/>
    <x v="2"/>
    <x v="8"/>
    <n v="274"/>
    <n v="9"/>
    <n v="0.86"/>
    <n v="2496.8000000000002"/>
    <x v="1"/>
  </r>
  <r>
    <n v="91"/>
    <s v="User85"/>
    <s v="Test85"/>
    <x v="1"/>
    <s v="Mysuru"/>
    <x v="2"/>
    <x v="9"/>
    <n v="209"/>
    <n v="5"/>
    <n v="0.86"/>
    <n v="1963.8"/>
    <x v="1"/>
  </r>
  <r>
    <n v="91"/>
    <s v="User85"/>
    <s v="Test85"/>
    <x v="1"/>
    <s v="Mysuru"/>
    <x v="2"/>
    <x v="10"/>
    <n v="188"/>
    <n v="7"/>
    <n v="0.96"/>
    <n v="1791.6"/>
    <x v="1"/>
  </r>
  <r>
    <n v="91"/>
    <s v="User85"/>
    <s v="Test85"/>
    <x v="1"/>
    <s v="Mysuru"/>
    <x v="2"/>
    <x v="11"/>
    <n v="216"/>
    <n v="8"/>
    <n v="0.91"/>
    <n v="2021.2"/>
    <x v="1"/>
  </r>
  <r>
    <n v="92"/>
    <s v="User86"/>
    <s v="Test86"/>
    <x v="2"/>
    <s v="Chennai"/>
    <x v="4"/>
    <x v="0"/>
    <n v="311"/>
    <n v="3"/>
    <n v="0.88"/>
    <n v="3765.5"/>
    <x v="1"/>
  </r>
  <r>
    <n v="92"/>
    <s v="User86"/>
    <s v="Test86"/>
    <x v="2"/>
    <s v="Chennai"/>
    <x v="4"/>
    <x v="1"/>
    <n v="287"/>
    <n v="2"/>
    <n v="0.91"/>
    <n v="3513.5"/>
    <x v="1"/>
  </r>
  <r>
    <n v="92"/>
    <s v="User86"/>
    <s v="Test86"/>
    <x v="2"/>
    <s v="Chennai"/>
    <x v="4"/>
    <x v="2"/>
    <n v="344"/>
    <n v="5"/>
    <n v="0.95"/>
    <n v="4112"/>
    <x v="1"/>
  </r>
  <r>
    <n v="92"/>
    <s v="User86"/>
    <s v="Test86"/>
    <x v="2"/>
    <s v="Chennai"/>
    <x v="4"/>
    <x v="3"/>
    <n v="338"/>
    <n v="8"/>
    <n v="0.98"/>
    <n v="4049"/>
    <x v="1"/>
  </r>
  <r>
    <n v="92"/>
    <s v="User86"/>
    <s v="Test86"/>
    <x v="2"/>
    <s v="Chennai"/>
    <x v="4"/>
    <x v="4"/>
    <n v="358"/>
    <n v="4"/>
    <n v="0.87"/>
    <n v="4259"/>
    <x v="1"/>
  </r>
  <r>
    <n v="92"/>
    <s v="User86"/>
    <s v="Test86"/>
    <x v="2"/>
    <s v="Chennai"/>
    <x v="4"/>
    <x v="5"/>
    <n v="209"/>
    <n v="7"/>
    <n v="0.87"/>
    <n v="2694.5"/>
    <x v="1"/>
  </r>
  <r>
    <n v="92"/>
    <s v="User86"/>
    <s v="Test86"/>
    <x v="2"/>
    <s v="Chennai"/>
    <x v="4"/>
    <x v="6"/>
    <n v="300"/>
    <n v="10"/>
    <n v="0.89"/>
    <n v="3650"/>
    <x v="1"/>
  </r>
  <r>
    <n v="92"/>
    <s v="User86"/>
    <s v="Test86"/>
    <x v="2"/>
    <s v="Chennai"/>
    <x v="4"/>
    <x v="7"/>
    <n v="195"/>
    <n v="7"/>
    <n v="0.92"/>
    <n v="2547.5"/>
    <x v="1"/>
  </r>
  <r>
    <n v="92"/>
    <s v="User86"/>
    <s v="Test86"/>
    <x v="2"/>
    <s v="Chennai"/>
    <x v="4"/>
    <x v="8"/>
    <n v="315"/>
    <n v="2"/>
    <n v="0.98"/>
    <n v="3807.5"/>
    <x v="1"/>
  </r>
  <r>
    <n v="92"/>
    <s v="User86"/>
    <s v="Test86"/>
    <x v="2"/>
    <s v="Chennai"/>
    <x v="4"/>
    <x v="9"/>
    <n v="211"/>
    <n v="7"/>
    <n v="0.98"/>
    <n v="2715.5"/>
    <x v="1"/>
  </r>
  <r>
    <n v="92"/>
    <s v="User86"/>
    <s v="Test86"/>
    <x v="2"/>
    <s v="Chennai"/>
    <x v="4"/>
    <x v="10"/>
    <n v="326"/>
    <n v="4"/>
    <n v="0.94"/>
    <n v="3923"/>
    <x v="1"/>
  </r>
  <r>
    <n v="92"/>
    <s v="User86"/>
    <s v="Test86"/>
    <x v="2"/>
    <s v="Chennai"/>
    <x v="4"/>
    <x v="11"/>
    <n v="276"/>
    <n v="5"/>
    <n v="0.95"/>
    <n v="3398"/>
    <x v="1"/>
  </r>
  <r>
    <n v="93"/>
    <s v="User87"/>
    <s v="Test87"/>
    <x v="3"/>
    <s v="Coimbatore"/>
    <x v="4"/>
    <x v="0"/>
    <n v="178"/>
    <n v="4"/>
    <n v="0.88"/>
    <n v="929.4"/>
    <x v="1"/>
  </r>
  <r>
    <n v="93"/>
    <s v="User87"/>
    <s v="Test87"/>
    <x v="3"/>
    <s v="Coimbatore"/>
    <x v="4"/>
    <x v="1"/>
    <n v="215"/>
    <n v="2"/>
    <n v="0.93"/>
    <n v="1107"/>
    <x v="1"/>
  </r>
  <r>
    <n v="93"/>
    <s v="User87"/>
    <s v="Test87"/>
    <x v="3"/>
    <s v="Coimbatore"/>
    <x v="4"/>
    <x v="2"/>
    <n v="353"/>
    <n v="7"/>
    <n v="0.85"/>
    <n v="1769.4"/>
    <x v="1"/>
  </r>
  <r>
    <n v="93"/>
    <s v="User87"/>
    <s v="Test87"/>
    <x v="3"/>
    <s v="Coimbatore"/>
    <x v="4"/>
    <x v="3"/>
    <n v="181"/>
    <n v="10"/>
    <n v="0.95"/>
    <n v="943.8"/>
    <x v="1"/>
  </r>
  <r>
    <n v="93"/>
    <s v="User87"/>
    <s v="Test87"/>
    <x v="3"/>
    <s v="Coimbatore"/>
    <x v="4"/>
    <x v="4"/>
    <n v="319"/>
    <n v="4"/>
    <n v="0.9"/>
    <n v="1606.2"/>
    <x v="0"/>
  </r>
  <r>
    <n v="93"/>
    <s v="User87"/>
    <s v="Test87"/>
    <x v="3"/>
    <s v="Coimbatore"/>
    <x v="4"/>
    <x v="5"/>
    <n v="308"/>
    <n v="2"/>
    <n v="0.93"/>
    <n v="1553.4"/>
    <x v="1"/>
  </r>
  <r>
    <n v="93"/>
    <s v="User87"/>
    <s v="Test87"/>
    <x v="3"/>
    <s v="Coimbatore"/>
    <x v="4"/>
    <x v="6"/>
    <n v="226"/>
    <n v="10"/>
    <n v="0.91"/>
    <n v="1159.8"/>
    <x v="1"/>
  </r>
  <r>
    <n v="93"/>
    <s v="User87"/>
    <s v="Test87"/>
    <x v="3"/>
    <s v="Coimbatore"/>
    <x v="4"/>
    <x v="7"/>
    <n v="214"/>
    <n v="4"/>
    <n v="0.91"/>
    <n v="1102.2"/>
    <x v="0"/>
  </r>
  <r>
    <n v="93"/>
    <s v="User87"/>
    <s v="Test87"/>
    <x v="3"/>
    <s v="Coimbatore"/>
    <x v="4"/>
    <x v="8"/>
    <n v="308"/>
    <n v="4"/>
    <n v="0.99"/>
    <n v="1553.4"/>
    <x v="1"/>
  </r>
  <r>
    <n v="93"/>
    <s v="User87"/>
    <s v="Test87"/>
    <x v="3"/>
    <s v="Coimbatore"/>
    <x v="4"/>
    <x v="9"/>
    <n v="369"/>
    <n v="8"/>
    <n v="0.92"/>
    <n v="1846.2"/>
    <x v="1"/>
  </r>
  <r>
    <n v="93"/>
    <s v="User87"/>
    <s v="Test87"/>
    <x v="3"/>
    <s v="Coimbatore"/>
    <x v="4"/>
    <x v="10"/>
    <n v="347"/>
    <n v="6"/>
    <n v="0.91"/>
    <n v="1740.6"/>
    <x v="0"/>
  </r>
  <r>
    <n v="93"/>
    <s v="User87"/>
    <s v="Test87"/>
    <x v="3"/>
    <s v="Coimbatore"/>
    <x v="4"/>
    <x v="11"/>
    <n v="295"/>
    <n v="3"/>
    <n v="0.86"/>
    <n v="1491"/>
    <x v="1"/>
  </r>
  <r>
    <n v="94"/>
    <s v="User88"/>
    <s v="Test88"/>
    <x v="0"/>
    <s v="New Delhi"/>
    <x v="5"/>
    <x v="0"/>
    <n v="183"/>
    <n v="2"/>
    <n v="0.92"/>
    <n v="1289.5"/>
    <x v="1"/>
  </r>
  <r>
    <n v="94"/>
    <s v="User88"/>
    <s v="Test88"/>
    <x v="0"/>
    <s v="New Delhi"/>
    <x v="5"/>
    <x v="1"/>
    <n v="285"/>
    <n v="5"/>
    <n v="0.95"/>
    <n v="1952.5"/>
    <x v="1"/>
  </r>
  <r>
    <n v="94"/>
    <s v="User88"/>
    <s v="Test88"/>
    <x v="0"/>
    <s v="New Delhi"/>
    <x v="5"/>
    <x v="2"/>
    <n v="205"/>
    <n v="5"/>
    <n v="0.92"/>
    <n v="1432.5"/>
    <x v="1"/>
  </r>
  <r>
    <n v="94"/>
    <s v="User88"/>
    <s v="Test88"/>
    <x v="0"/>
    <s v="New Delhi"/>
    <x v="5"/>
    <x v="3"/>
    <n v="370"/>
    <n v="2"/>
    <n v="0.92"/>
    <n v="2505"/>
    <x v="1"/>
  </r>
  <r>
    <n v="94"/>
    <s v="User88"/>
    <s v="Test88"/>
    <x v="0"/>
    <s v="New Delhi"/>
    <x v="5"/>
    <x v="4"/>
    <n v="152"/>
    <n v="4"/>
    <n v="0.9"/>
    <n v="1088"/>
    <x v="0"/>
  </r>
  <r>
    <n v="94"/>
    <s v="User88"/>
    <s v="Test88"/>
    <x v="0"/>
    <s v="New Delhi"/>
    <x v="5"/>
    <x v="5"/>
    <n v="260"/>
    <n v="2"/>
    <n v="0.99"/>
    <n v="1790"/>
    <x v="1"/>
  </r>
  <r>
    <n v="94"/>
    <s v="User88"/>
    <s v="Test88"/>
    <x v="0"/>
    <s v="New Delhi"/>
    <x v="5"/>
    <x v="6"/>
    <n v="341"/>
    <n v="3"/>
    <n v="0.85"/>
    <n v="2316.5"/>
    <x v="1"/>
  </r>
  <r>
    <n v="94"/>
    <s v="User88"/>
    <s v="Test88"/>
    <x v="0"/>
    <s v="New Delhi"/>
    <x v="5"/>
    <x v="7"/>
    <n v="341"/>
    <n v="4"/>
    <n v="0.89"/>
    <n v="2316.5"/>
    <x v="0"/>
  </r>
  <r>
    <n v="94"/>
    <s v="User88"/>
    <s v="Test88"/>
    <x v="0"/>
    <s v="New Delhi"/>
    <x v="5"/>
    <x v="8"/>
    <n v="173"/>
    <n v="8"/>
    <n v="0.93"/>
    <n v="1224.5"/>
    <x v="1"/>
  </r>
  <r>
    <n v="94"/>
    <s v="User88"/>
    <s v="Test88"/>
    <x v="0"/>
    <s v="New Delhi"/>
    <x v="5"/>
    <x v="9"/>
    <n v="396"/>
    <n v="10"/>
    <n v="0.97"/>
    <n v="2674"/>
    <x v="0"/>
  </r>
  <r>
    <n v="94"/>
    <s v="User88"/>
    <s v="Test88"/>
    <x v="0"/>
    <s v="New Delhi"/>
    <x v="5"/>
    <x v="10"/>
    <n v="361"/>
    <n v="8"/>
    <n v="0.87"/>
    <n v="2446.5"/>
    <x v="1"/>
  </r>
  <r>
    <n v="94"/>
    <s v="User88"/>
    <s v="Test88"/>
    <x v="0"/>
    <s v="New Delhi"/>
    <x v="5"/>
    <x v="11"/>
    <n v="221"/>
    <n v="6"/>
    <n v="0.97"/>
    <n v="1536.5"/>
    <x v="1"/>
  </r>
  <r>
    <n v="95"/>
    <s v="User89"/>
    <s v="Test89"/>
    <x v="1"/>
    <s v="Lucknow"/>
    <x v="6"/>
    <x v="0"/>
    <n v="262"/>
    <n v="10"/>
    <n v="0.97"/>
    <n v="2398.4"/>
    <x v="1"/>
  </r>
  <r>
    <n v="95"/>
    <s v="User89"/>
    <s v="Test89"/>
    <x v="1"/>
    <s v="Lucknow"/>
    <x v="6"/>
    <x v="1"/>
    <n v="160"/>
    <n v="3"/>
    <n v="0.98"/>
    <n v="1562"/>
    <x v="1"/>
  </r>
  <r>
    <n v="95"/>
    <s v="User89"/>
    <s v="Test89"/>
    <x v="1"/>
    <s v="Lucknow"/>
    <x v="6"/>
    <x v="2"/>
    <n v="279"/>
    <n v="8"/>
    <n v="0.95"/>
    <n v="2537.8000000000002"/>
    <x v="1"/>
  </r>
  <r>
    <n v="95"/>
    <s v="User89"/>
    <s v="Test89"/>
    <x v="1"/>
    <s v="Lucknow"/>
    <x v="6"/>
    <x v="3"/>
    <n v="158"/>
    <n v="10"/>
    <n v="0.97"/>
    <n v="1545.6"/>
    <x v="1"/>
  </r>
  <r>
    <n v="95"/>
    <s v="User89"/>
    <s v="Test89"/>
    <x v="1"/>
    <s v="Lucknow"/>
    <x v="6"/>
    <x v="4"/>
    <n v="342"/>
    <n v="3"/>
    <n v="0.9"/>
    <n v="3054.4"/>
    <x v="1"/>
  </r>
  <r>
    <n v="95"/>
    <s v="User89"/>
    <s v="Test89"/>
    <x v="1"/>
    <s v="Lucknow"/>
    <x v="6"/>
    <x v="5"/>
    <n v="158"/>
    <n v="5"/>
    <n v="0.9"/>
    <n v="1545.6"/>
    <x v="1"/>
  </r>
  <r>
    <n v="95"/>
    <s v="User89"/>
    <s v="Test89"/>
    <x v="1"/>
    <s v="Lucknow"/>
    <x v="6"/>
    <x v="6"/>
    <n v="271"/>
    <n v="6"/>
    <n v="0.98"/>
    <n v="2472.1999999999998"/>
    <x v="1"/>
  </r>
  <r>
    <n v="95"/>
    <s v="User89"/>
    <s v="Test89"/>
    <x v="1"/>
    <s v="Lucknow"/>
    <x v="6"/>
    <x v="7"/>
    <n v="271"/>
    <n v="4"/>
    <n v="0.89"/>
    <n v="2472.1999999999998"/>
    <x v="1"/>
  </r>
  <r>
    <n v="95"/>
    <s v="User89"/>
    <s v="Test89"/>
    <x v="1"/>
    <s v="Lucknow"/>
    <x v="6"/>
    <x v="8"/>
    <n v="209"/>
    <n v="8"/>
    <n v="0.88"/>
    <n v="1963.8"/>
    <x v="1"/>
  </r>
  <r>
    <n v="95"/>
    <s v="User89"/>
    <s v="Test89"/>
    <x v="1"/>
    <s v="Lucknow"/>
    <x v="6"/>
    <x v="9"/>
    <n v="334"/>
    <n v="4"/>
    <n v="0.85"/>
    <n v="2988.8"/>
    <x v="0"/>
  </r>
  <r>
    <n v="95"/>
    <s v="User89"/>
    <s v="Test89"/>
    <x v="1"/>
    <s v="Lucknow"/>
    <x v="6"/>
    <x v="10"/>
    <n v="312"/>
    <n v="4"/>
    <n v="0.89"/>
    <n v="2808.4"/>
    <x v="1"/>
  </r>
  <r>
    <n v="95"/>
    <s v="User89"/>
    <s v="Test89"/>
    <x v="1"/>
    <s v="Lucknow"/>
    <x v="6"/>
    <x v="11"/>
    <n v="293"/>
    <n v="2"/>
    <n v="0.87"/>
    <n v="2652.6"/>
    <x v="0"/>
  </r>
  <r>
    <n v="96"/>
    <s v="User90"/>
    <s v="Test90"/>
    <x v="2"/>
    <s v="Mumbai"/>
    <x v="0"/>
    <x v="0"/>
    <n v="284"/>
    <n v="6"/>
    <n v="0.93"/>
    <n v="3482"/>
    <x v="1"/>
  </r>
  <r>
    <n v="96"/>
    <s v="User90"/>
    <s v="Test90"/>
    <x v="2"/>
    <s v="Mumbai"/>
    <x v="0"/>
    <x v="1"/>
    <n v="369"/>
    <n v="4"/>
    <n v="0.99"/>
    <n v="4374.5"/>
    <x v="1"/>
  </r>
  <r>
    <n v="96"/>
    <s v="User90"/>
    <s v="Test90"/>
    <x v="2"/>
    <s v="Mumbai"/>
    <x v="0"/>
    <x v="2"/>
    <n v="327"/>
    <n v="9"/>
    <n v="0.87"/>
    <n v="3933.5"/>
    <x v="1"/>
  </r>
  <r>
    <n v="96"/>
    <s v="User90"/>
    <s v="Test90"/>
    <x v="2"/>
    <s v="Mumbai"/>
    <x v="0"/>
    <x v="3"/>
    <n v="321"/>
    <n v="10"/>
    <n v="0.85"/>
    <n v="3870.5"/>
    <x v="1"/>
  </r>
  <r>
    <n v="96"/>
    <s v="User90"/>
    <s v="Test90"/>
    <x v="2"/>
    <s v="Mumbai"/>
    <x v="0"/>
    <x v="4"/>
    <n v="392"/>
    <n v="2"/>
    <n v="0.88"/>
    <n v="4616"/>
    <x v="0"/>
  </r>
  <r>
    <n v="96"/>
    <s v="User90"/>
    <s v="Test90"/>
    <x v="2"/>
    <s v="Mumbai"/>
    <x v="0"/>
    <x v="5"/>
    <n v="380"/>
    <n v="6"/>
    <n v="0.96"/>
    <n v="4490"/>
    <x v="1"/>
  </r>
  <r>
    <n v="96"/>
    <s v="User90"/>
    <s v="Test90"/>
    <x v="2"/>
    <s v="Mumbai"/>
    <x v="0"/>
    <x v="6"/>
    <n v="233"/>
    <n v="3"/>
    <n v="0.86"/>
    <n v="2946.5"/>
    <x v="1"/>
  </r>
  <r>
    <n v="96"/>
    <s v="User90"/>
    <s v="Test90"/>
    <x v="2"/>
    <s v="Mumbai"/>
    <x v="0"/>
    <x v="7"/>
    <n v="214"/>
    <n v="4"/>
    <n v="0.85"/>
    <n v="2747"/>
    <x v="1"/>
  </r>
  <r>
    <n v="96"/>
    <s v="User90"/>
    <s v="Test90"/>
    <x v="2"/>
    <s v="Mumbai"/>
    <x v="0"/>
    <x v="8"/>
    <n v="187"/>
    <n v="9"/>
    <n v="0.95"/>
    <n v="2463.5"/>
    <x v="1"/>
  </r>
  <r>
    <n v="96"/>
    <s v="User90"/>
    <s v="Test90"/>
    <x v="2"/>
    <s v="Mumbai"/>
    <x v="0"/>
    <x v="9"/>
    <n v="330"/>
    <n v="4"/>
    <n v="0.87"/>
    <n v="3965"/>
    <x v="1"/>
  </r>
  <r>
    <n v="96"/>
    <s v="User90"/>
    <s v="Test90"/>
    <x v="2"/>
    <s v="Mumbai"/>
    <x v="0"/>
    <x v="10"/>
    <n v="383"/>
    <n v="5"/>
    <n v="0.86"/>
    <n v="4521.5"/>
    <x v="1"/>
  </r>
  <r>
    <n v="96"/>
    <s v="User90"/>
    <s v="Test90"/>
    <x v="2"/>
    <s v="Mumbai"/>
    <x v="0"/>
    <x v="11"/>
    <n v="378"/>
    <n v="2"/>
    <n v="0.86"/>
    <n v="4469"/>
    <x v="1"/>
  </r>
  <r>
    <n v="97"/>
    <s v="User91"/>
    <s v="Test91"/>
    <x v="3"/>
    <s v="Pune"/>
    <x v="0"/>
    <x v="0"/>
    <n v="360"/>
    <n v="10"/>
    <n v="0.93"/>
    <n v="1803"/>
    <x v="1"/>
  </r>
  <r>
    <n v="97"/>
    <s v="User91"/>
    <s v="Test91"/>
    <x v="3"/>
    <s v="Pune"/>
    <x v="0"/>
    <x v="1"/>
    <n v="343"/>
    <n v="3"/>
    <n v="0.9"/>
    <n v="1721.4"/>
    <x v="0"/>
  </r>
  <r>
    <n v="97"/>
    <s v="User91"/>
    <s v="Test91"/>
    <x v="3"/>
    <s v="Pune"/>
    <x v="0"/>
    <x v="2"/>
    <n v="171"/>
    <n v="6"/>
    <n v="0.94"/>
    <n v="895.8"/>
    <x v="1"/>
  </r>
  <r>
    <n v="97"/>
    <s v="User91"/>
    <s v="Test91"/>
    <x v="3"/>
    <s v="Pune"/>
    <x v="0"/>
    <x v="3"/>
    <n v="294"/>
    <n v="4"/>
    <n v="0.96"/>
    <n v="1486.2"/>
    <x v="1"/>
  </r>
  <r>
    <n v="97"/>
    <s v="User91"/>
    <s v="Test91"/>
    <x v="3"/>
    <s v="Pune"/>
    <x v="0"/>
    <x v="4"/>
    <n v="316"/>
    <n v="8"/>
    <n v="0.93"/>
    <n v="1591.8"/>
    <x v="1"/>
  </r>
  <r>
    <n v="97"/>
    <s v="User91"/>
    <s v="Test91"/>
    <x v="3"/>
    <s v="Pune"/>
    <x v="0"/>
    <x v="5"/>
    <n v="227"/>
    <n v="3"/>
    <n v="0.9"/>
    <n v="1164.5999999999999"/>
    <x v="1"/>
  </r>
  <r>
    <n v="97"/>
    <s v="User91"/>
    <s v="Test91"/>
    <x v="3"/>
    <s v="Pune"/>
    <x v="0"/>
    <x v="6"/>
    <n v="385"/>
    <n v="2"/>
    <n v="0.93"/>
    <n v="1923"/>
    <x v="0"/>
  </r>
  <r>
    <n v="97"/>
    <s v="User91"/>
    <s v="Test91"/>
    <x v="3"/>
    <s v="Pune"/>
    <x v="0"/>
    <x v="7"/>
    <n v="236"/>
    <n v="10"/>
    <n v="0.9"/>
    <n v="1207.8"/>
    <x v="0"/>
  </r>
  <r>
    <n v="97"/>
    <s v="User91"/>
    <s v="Test91"/>
    <x v="3"/>
    <s v="Pune"/>
    <x v="0"/>
    <x v="8"/>
    <n v="355"/>
    <n v="4"/>
    <n v="0.97"/>
    <n v="1779"/>
    <x v="0"/>
  </r>
  <r>
    <n v="97"/>
    <s v="User91"/>
    <s v="Test91"/>
    <x v="3"/>
    <s v="Pune"/>
    <x v="0"/>
    <x v="9"/>
    <n v="229"/>
    <n v="8"/>
    <n v="0.99"/>
    <n v="1174.2"/>
    <x v="1"/>
  </r>
  <r>
    <n v="97"/>
    <s v="User91"/>
    <s v="Test91"/>
    <x v="3"/>
    <s v="Pune"/>
    <x v="0"/>
    <x v="10"/>
    <n v="235"/>
    <n v="10"/>
    <n v="0.99"/>
    <n v="1203"/>
    <x v="1"/>
  </r>
  <r>
    <n v="97"/>
    <s v="User91"/>
    <s v="Test91"/>
    <x v="3"/>
    <s v="Pune"/>
    <x v="0"/>
    <x v="11"/>
    <n v="281"/>
    <n v="4"/>
    <n v="0.95"/>
    <n v="1423.8"/>
    <x v="1"/>
  </r>
  <r>
    <n v="98"/>
    <s v="User92"/>
    <s v="Test92"/>
    <x v="0"/>
    <s v="Nagpur"/>
    <x v="0"/>
    <x v="0"/>
    <n v="262"/>
    <n v="8"/>
    <n v="0.97"/>
    <n v="1803"/>
    <x v="0"/>
  </r>
  <r>
    <n v="98"/>
    <s v="User92"/>
    <s v="Test92"/>
    <x v="0"/>
    <s v="Nagpur"/>
    <x v="0"/>
    <x v="1"/>
    <n v="313"/>
    <n v="5"/>
    <n v="0.9"/>
    <n v="2134.5"/>
    <x v="0"/>
  </r>
  <r>
    <n v="98"/>
    <s v="User92"/>
    <s v="Test92"/>
    <x v="0"/>
    <s v="Nagpur"/>
    <x v="0"/>
    <x v="2"/>
    <n v="321"/>
    <n v="4"/>
    <n v="0.99"/>
    <n v="2186.5"/>
    <x v="0"/>
  </r>
  <r>
    <n v="98"/>
    <s v="User92"/>
    <s v="Test92"/>
    <x v="0"/>
    <s v="Nagpur"/>
    <x v="0"/>
    <x v="3"/>
    <n v="387"/>
    <n v="5"/>
    <n v="0.88"/>
    <n v="2615.5"/>
    <x v="1"/>
  </r>
  <r>
    <n v="98"/>
    <s v="User92"/>
    <s v="Test92"/>
    <x v="0"/>
    <s v="Nagpur"/>
    <x v="0"/>
    <x v="4"/>
    <n v="315"/>
    <n v="5"/>
    <n v="0.9"/>
    <n v="2147.5"/>
    <x v="1"/>
  </r>
  <r>
    <n v="98"/>
    <s v="User92"/>
    <s v="Test92"/>
    <x v="0"/>
    <s v="Nagpur"/>
    <x v="0"/>
    <x v="5"/>
    <n v="352"/>
    <n v="8"/>
    <n v="0.94"/>
    <n v="2388"/>
    <x v="1"/>
  </r>
  <r>
    <n v="98"/>
    <s v="User92"/>
    <s v="Test92"/>
    <x v="0"/>
    <s v="Nagpur"/>
    <x v="0"/>
    <x v="6"/>
    <n v="330"/>
    <n v="7"/>
    <n v="0.88"/>
    <n v="2245"/>
    <x v="1"/>
  </r>
  <r>
    <n v="98"/>
    <s v="User92"/>
    <s v="Test92"/>
    <x v="0"/>
    <s v="Nagpur"/>
    <x v="0"/>
    <x v="7"/>
    <n v="209"/>
    <n v="2"/>
    <n v="0.88"/>
    <n v="1458.5"/>
    <x v="1"/>
  </r>
  <r>
    <n v="98"/>
    <s v="User92"/>
    <s v="Test92"/>
    <x v="0"/>
    <s v="Nagpur"/>
    <x v="0"/>
    <x v="8"/>
    <n v="352"/>
    <n v="6"/>
    <n v="0.92"/>
    <n v="2388"/>
    <x v="0"/>
  </r>
  <r>
    <n v="98"/>
    <s v="User92"/>
    <s v="Test92"/>
    <x v="0"/>
    <s v="Nagpur"/>
    <x v="0"/>
    <x v="9"/>
    <n v="327"/>
    <n v="3"/>
    <n v="0.93"/>
    <n v="2225.5"/>
    <x v="1"/>
  </r>
  <r>
    <n v="98"/>
    <s v="User92"/>
    <s v="Test92"/>
    <x v="0"/>
    <s v="Nagpur"/>
    <x v="0"/>
    <x v="10"/>
    <n v="194"/>
    <n v="6"/>
    <n v="0.99"/>
    <n v="1361"/>
    <x v="1"/>
  </r>
  <r>
    <n v="98"/>
    <s v="User92"/>
    <s v="Test92"/>
    <x v="0"/>
    <s v="Nagpur"/>
    <x v="0"/>
    <x v="11"/>
    <n v="227"/>
    <n v="7"/>
    <n v="0.85"/>
    <n v="1575.5"/>
    <x v="1"/>
  </r>
  <r>
    <n v="99"/>
    <s v="User93"/>
    <s v="Test93"/>
    <x v="1"/>
    <s v="Ahmedabad"/>
    <x v="1"/>
    <x v="0"/>
    <n v="229"/>
    <n v="10"/>
    <n v="0.88"/>
    <n v="2127.8000000000002"/>
    <x v="1"/>
  </r>
  <r>
    <n v="99"/>
    <s v="User93"/>
    <s v="Test93"/>
    <x v="1"/>
    <s v="Ahmedabad"/>
    <x v="1"/>
    <x v="1"/>
    <n v="311"/>
    <n v="7"/>
    <n v="0.91"/>
    <n v="2800.2"/>
    <x v="1"/>
  </r>
  <r>
    <n v="99"/>
    <s v="User93"/>
    <s v="Test93"/>
    <x v="1"/>
    <s v="Ahmedabad"/>
    <x v="1"/>
    <x v="2"/>
    <n v="380"/>
    <n v="7"/>
    <n v="0.94"/>
    <n v="3366"/>
    <x v="1"/>
  </r>
  <r>
    <n v="99"/>
    <s v="User93"/>
    <s v="Test93"/>
    <x v="1"/>
    <s v="Ahmedabad"/>
    <x v="1"/>
    <x v="3"/>
    <n v="241"/>
    <n v="10"/>
    <n v="0.95"/>
    <n v="2226.1999999999998"/>
    <x v="1"/>
  </r>
  <r>
    <n v="99"/>
    <s v="User93"/>
    <s v="Test93"/>
    <x v="1"/>
    <s v="Ahmedabad"/>
    <x v="1"/>
    <x v="4"/>
    <n v="177"/>
    <n v="5"/>
    <n v="0.88"/>
    <n v="1701.4"/>
    <x v="1"/>
  </r>
  <r>
    <n v="99"/>
    <s v="User93"/>
    <s v="Test93"/>
    <x v="1"/>
    <s v="Ahmedabad"/>
    <x v="1"/>
    <x v="5"/>
    <n v="253"/>
    <n v="6"/>
    <n v="0.94"/>
    <n v="2324.6"/>
    <x v="1"/>
  </r>
  <r>
    <n v="99"/>
    <s v="User93"/>
    <s v="Test93"/>
    <x v="1"/>
    <s v="Ahmedabad"/>
    <x v="1"/>
    <x v="6"/>
    <n v="397"/>
    <n v="9"/>
    <n v="0.85"/>
    <n v="3505.4"/>
    <x v="1"/>
  </r>
  <r>
    <n v="99"/>
    <s v="User93"/>
    <s v="Test93"/>
    <x v="1"/>
    <s v="Ahmedabad"/>
    <x v="1"/>
    <x v="7"/>
    <n v="325"/>
    <n v="10"/>
    <n v="0.95"/>
    <n v="2915"/>
    <x v="1"/>
  </r>
  <r>
    <n v="99"/>
    <s v="User93"/>
    <s v="Test93"/>
    <x v="1"/>
    <s v="Ahmedabad"/>
    <x v="1"/>
    <x v="8"/>
    <n v="150"/>
    <n v="2"/>
    <n v="0.88"/>
    <n v="1480"/>
    <x v="1"/>
  </r>
  <r>
    <n v="99"/>
    <s v="User93"/>
    <s v="Test93"/>
    <x v="1"/>
    <s v="Ahmedabad"/>
    <x v="1"/>
    <x v="9"/>
    <n v="390"/>
    <n v="9"/>
    <n v="0.94"/>
    <n v="3448"/>
    <x v="1"/>
  </r>
  <r>
    <n v="99"/>
    <s v="User93"/>
    <s v="Test93"/>
    <x v="1"/>
    <s v="Ahmedabad"/>
    <x v="1"/>
    <x v="10"/>
    <n v="259"/>
    <n v="9"/>
    <n v="0.93"/>
    <n v="2373.8000000000002"/>
    <x v="1"/>
  </r>
  <r>
    <n v="99"/>
    <s v="User93"/>
    <s v="Test93"/>
    <x v="1"/>
    <s v="Ahmedabad"/>
    <x v="1"/>
    <x v="11"/>
    <n v="247"/>
    <n v="8"/>
    <n v="0.94"/>
    <n v="2275.4"/>
    <x v="1"/>
  </r>
  <r>
    <n v="100"/>
    <s v="User94"/>
    <s v="Test94"/>
    <x v="2"/>
    <s v="Surat"/>
    <x v="1"/>
    <x v="0"/>
    <n v="150"/>
    <n v="9"/>
    <n v="0.96"/>
    <n v="2075"/>
    <x v="0"/>
  </r>
  <r>
    <n v="100"/>
    <s v="User94"/>
    <s v="Test94"/>
    <x v="2"/>
    <s v="Surat"/>
    <x v="1"/>
    <x v="1"/>
    <n v="169"/>
    <n v="2"/>
    <n v="0.96"/>
    <n v="2274.5"/>
    <x v="1"/>
  </r>
  <r>
    <n v="100"/>
    <s v="User94"/>
    <s v="Test94"/>
    <x v="2"/>
    <s v="Surat"/>
    <x v="1"/>
    <x v="2"/>
    <n v="186"/>
    <n v="6"/>
    <n v="0.93"/>
    <n v="2453"/>
    <x v="1"/>
  </r>
  <r>
    <n v="100"/>
    <s v="User94"/>
    <s v="Test94"/>
    <x v="2"/>
    <s v="Surat"/>
    <x v="1"/>
    <x v="3"/>
    <n v="400"/>
    <n v="6"/>
    <n v="0.93"/>
    <n v="4700"/>
    <x v="0"/>
  </r>
  <r>
    <n v="100"/>
    <s v="User94"/>
    <s v="Test94"/>
    <x v="2"/>
    <s v="Surat"/>
    <x v="1"/>
    <x v="4"/>
    <n v="378"/>
    <n v="7"/>
    <n v="0.97"/>
    <n v="4469"/>
    <x v="1"/>
  </r>
  <r>
    <n v="100"/>
    <s v="User94"/>
    <s v="Test94"/>
    <x v="2"/>
    <s v="Surat"/>
    <x v="1"/>
    <x v="5"/>
    <n v="238"/>
    <n v="7"/>
    <n v="0.99"/>
    <n v="2999"/>
    <x v="1"/>
  </r>
  <r>
    <n v="100"/>
    <s v="User94"/>
    <s v="Test94"/>
    <x v="2"/>
    <s v="Surat"/>
    <x v="1"/>
    <x v="6"/>
    <n v="185"/>
    <n v="8"/>
    <n v="0.93"/>
    <n v="2442.5"/>
    <x v="1"/>
  </r>
  <r>
    <n v="100"/>
    <s v="User94"/>
    <s v="Test94"/>
    <x v="2"/>
    <s v="Surat"/>
    <x v="1"/>
    <x v="7"/>
    <n v="200"/>
    <n v="8"/>
    <n v="0.94"/>
    <n v="2600"/>
    <x v="1"/>
  </r>
  <r>
    <n v="100"/>
    <s v="User94"/>
    <s v="Test94"/>
    <x v="2"/>
    <s v="Surat"/>
    <x v="1"/>
    <x v="8"/>
    <n v="337"/>
    <n v="8"/>
    <n v="0.87"/>
    <n v="4038.5"/>
    <x v="1"/>
  </r>
  <r>
    <n v="100"/>
    <s v="User94"/>
    <s v="Test94"/>
    <x v="2"/>
    <s v="Surat"/>
    <x v="1"/>
    <x v="9"/>
    <n v="211"/>
    <n v="5"/>
    <n v="0.89"/>
    <n v="2715.5"/>
    <x v="1"/>
  </r>
  <r>
    <n v="100"/>
    <s v="User94"/>
    <s v="Test94"/>
    <x v="2"/>
    <s v="Surat"/>
    <x v="1"/>
    <x v="10"/>
    <n v="312"/>
    <n v="3"/>
    <n v="0.85"/>
    <n v="3776"/>
    <x v="1"/>
  </r>
  <r>
    <n v="100"/>
    <s v="User94"/>
    <s v="Test94"/>
    <x v="2"/>
    <s v="Surat"/>
    <x v="1"/>
    <x v="11"/>
    <n v="209"/>
    <n v="7"/>
    <n v="0.91"/>
    <n v="2694.5"/>
    <x v="1"/>
  </r>
  <r>
    <n v="101"/>
    <s v="User95"/>
    <s v="Test95"/>
    <x v="3"/>
    <s v="Vadodara"/>
    <x v="1"/>
    <x v="0"/>
    <n v="263"/>
    <n v="5"/>
    <n v="0.87"/>
    <n v="1337.4"/>
    <x v="1"/>
  </r>
  <r>
    <n v="101"/>
    <s v="User95"/>
    <s v="Test95"/>
    <x v="3"/>
    <s v="Vadodara"/>
    <x v="1"/>
    <x v="1"/>
    <n v="396"/>
    <n v="10"/>
    <n v="0.9"/>
    <n v="1975.8"/>
    <x v="1"/>
  </r>
  <r>
    <n v="101"/>
    <s v="User95"/>
    <s v="Test95"/>
    <x v="3"/>
    <s v="Vadodara"/>
    <x v="1"/>
    <x v="2"/>
    <n v="312"/>
    <n v="2"/>
    <n v="0.92"/>
    <n v="1572.6"/>
    <x v="1"/>
  </r>
  <r>
    <n v="101"/>
    <s v="User95"/>
    <s v="Test95"/>
    <x v="3"/>
    <s v="Vadodara"/>
    <x v="1"/>
    <x v="3"/>
    <n v="162"/>
    <n v="9"/>
    <n v="0.93"/>
    <n v="852.6"/>
    <x v="1"/>
  </r>
  <r>
    <n v="101"/>
    <s v="User95"/>
    <s v="Test95"/>
    <x v="3"/>
    <s v="Vadodara"/>
    <x v="1"/>
    <x v="4"/>
    <n v="163"/>
    <n v="8"/>
    <n v="0.88"/>
    <n v="857.4"/>
    <x v="1"/>
  </r>
  <r>
    <n v="101"/>
    <s v="User95"/>
    <s v="Test95"/>
    <x v="3"/>
    <s v="Vadodara"/>
    <x v="1"/>
    <x v="5"/>
    <n v="195"/>
    <n v="6"/>
    <n v="0.9"/>
    <n v="1011"/>
    <x v="1"/>
  </r>
  <r>
    <n v="101"/>
    <s v="User95"/>
    <s v="Test95"/>
    <x v="3"/>
    <s v="Vadodara"/>
    <x v="1"/>
    <x v="6"/>
    <n v="213"/>
    <n v="4"/>
    <n v="0.92"/>
    <n v="1097.4000000000001"/>
    <x v="1"/>
  </r>
  <r>
    <n v="101"/>
    <s v="User95"/>
    <s v="Test95"/>
    <x v="3"/>
    <s v="Vadodara"/>
    <x v="1"/>
    <x v="7"/>
    <n v="278"/>
    <n v="10"/>
    <n v="0.96"/>
    <n v="1409.4"/>
    <x v="1"/>
  </r>
  <r>
    <n v="101"/>
    <s v="User95"/>
    <s v="Test95"/>
    <x v="3"/>
    <s v="Vadodara"/>
    <x v="1"/>
    <x v="8"/>
    <n v="234"/>
    <n v="7"/>
    <n v="0.87"/>
    <n v="1198.2"/>
    <x v="1"/>
  </r>
  <r>
    <n v="101"/>
    <s v="User95"/>
    <s v="Test95"/>
    <x v="3"/>
    <s v="Vadodara"/>
    <x v="1"/>
    <x v="9"/>
    <n v="347"/>
    <n v="3"/>
    <n v="0.98"/>
    <n v="1740.6"/>
    <x v="1"/>
  </r>
  <r>
    <n v="101"/>
    <s v="User95"/>
    <s v="Test95"/>
    <x v="3"/>
    <s v="Vadodara"/>
    <x v="1"/>
    <x v="10"/>
    <n v="187"/>
    <n v="10"/>
    <n v="0.96"/>
    <n v="972.6"/>
    <x v="1"/>
  </r>
  <r>
    <n v="101"/>
    <s v="User95"/>
    <s v="Test95"/>
    <x v="3"/>
    <s v="Vadodara"/>
    <x v="1"/>
    <x v="11"/>
    <n v="337"/>
    <n v="5"/>
    <n v="0.98"/>
    <n v="1692.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A359F-1BAF-4060-B4A5-F1DF3FA48F03}" name="PT_CategoryConsump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H7" firstHeaderRow="1" firstDataRow="1" firstDataCol="1"/>
  <pivotFields count="14">
    <pivotField showAll="0"/>
    <pivotField showAll="0"/>
    <pivotField showAll="0"/>
    <pivotField axis="axisRow" showAll="0">
      <items count="5">
        <item x="3"/>
        <item x="1"/>
        <item x="2"/>
        <item x="0"/>
        <item t="default"/>
      </items>
    </pivotField>
    <pivotField showAll="0"/>
    <pivotField showAll="0"/>
    <pivotField numFmtId="14"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UnitsConsumed"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AC597-1DD1-4307-B735-68858E538303}" name="PT_Revenu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9:H14" firstHeaderRow="1" firstDataRow="1" firstDataCol="1"/>
  <pivotFields count="14">
    <pivotField showAll="0"/>
    <pivotField showAll="0"/>
    <pivotField showAll="0"/>
    <pivotField axis="axisRow" showAll="0">
      <items count="5">
        <item x="3"/>
        <item x="1"/>
        <item x="2"/>
        <item x="0"/>
        <item t="default"/>
      </items>
    </pivotField>
    <pivotField showAll="0"/>
    <pivotField showAll="0"/>
    <pivotField numFmtId="14"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BillAmount"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7B3C2E-4C16-418F-9053-C8B1FDFD8601}" name="PT_AvgConsump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15" firstHeaderRow="1" firstDataRow="1" firstDataCol="1"/>
  <pivotFields count="14">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Items count="1">
    <i/>
  </colItems>
  <dataFields count="1">
    <dataField name="Average of UnitsConsumed" fld="7" subtotal="average" baseField="13"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DCC55-9DFB-4B75-B3A4-9C5907919BFC}" name="PT_Monthly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5" firstHeaderRow="1" firstDataRow="1" firstDataCol="1"/>
  <pivotFields count="14">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UnitsConsumed"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30FAFD-25E0-4318-8D35-F7C30E3EA099}" name="PT_Revenue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3:K21" firstHeaderRow="1" firstDataRow="1" firstDataCol="1"/>
  <pivotFields count="14">
    <pivotField showAll="0"/>
    <pivotField showAll="0"/>
    <pivotField showAll="0"/>
    <pivotField showAll="0"/>
    <pivotField showAll="0"/>
    <pivotField axis="axisRow" showAll="0">
      <items count="8">
        <item x="5"/>
        <item x="1"/>
        <item x="2"/>
        <item x="0"/>
        <item x="3"/>
        <item x="4"/>
        <item x="6"/>
        <item t="default"/>
      </items>
    </pivotField>
    <pivotField numFmtId="14"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Items count="1">
    <i/>
  </colItems>
  <dataFields count="1">
    <dataField name="Sum of BillAmount"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8000E4-1BC4-4CF8-AF95-62DDE308B34D}" name="PT_Payment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9:G22" firstHeaderRow="1" firstDataRow="1" firstDataCol="1"/>
  <pivotFields count="14">
    <pivotField dataField="1"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pivotField showAll="0"/>
    <pivotField showAll="0"/>
    <pivotField showAll="0"/>
    <pivotField axis="axisRow"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3">
    <i>
      <x/>
    </i>
    <i>
      <x v="1"/>
    </i>
    <i t="grand">
      <x/>
    </i>
  </rowItems>
  <colItems count="1">
    <i/>
  </colItems>
  <dataFields count="1">
    <dataField name="Total Bills" fld="0" subtotal="count" baseField="11"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FA3604-A682-4534-94CA-509D6EAE7DEB}" autoFormatId="16" applyNumberFormats="0" applyBorderFormats="0" applyFontFormats="0" applyPatternFormats="0" applyAlignmentFormats="0" applyWidthHeightFormats="0">
  <queryTableRefresh nextId="13">
    <queryTableFields count="12">
      <queryTableField id="1" name="CustomerID" tableColumnId="1"/>
      <queryTableField id="2" name="FirstName" tableColumnId="2"/>
      <queryTableField id="3" name="LastName" tableColumnId="3"/>
      <queryTableField id="4" name="CategoryName" tableColumnId="4"/>
      <queryTableField id="5" name="CityName" tableColumnId="5"/>
      <queryTableField id="6" name="StateName" tableColumnId="6"/>
      <queryTableField id="7" name="ReadingDate" tableColumnId="7"/>
      <queryTableField id="8" name="UnitsConsumed" tableColumnId="8"/>
      <queryTableField id="9" name="PeakDemand" tableColumnId="9"/>
      <queryTableField id="10" name="PowerFactor" tableColumnId="10"/>
      <queryTableField id="11" name="BillAmount" tableColumnId="11"/>
      <queryTableField id="12" name="PaymentStatu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Name" xr10:uid="{A51004E8-DC02-4883-8276-EDB7A5CFB46D}" sourceName="StateName">
  <pivotTables>
    <pivotTable tabId="2" name="PT_RevenueState"/>
  </pivotTables>
  <data>
    <tabular pivotCacheId="2109662351">
      <items count="7">
        <i x="5" s="1"/>
        <i x="1" s="1"/>
        <i x="2" s="1"/>
        <i x="0" s="1"/>
        <i x="3"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2B652606-FD63-4AD8-8656-F53E42181588}" sourceName="CategoryName">
  <pivotTables>
    <pivotTable tabId="2" name="PT_CategoryConsumption"/>
    <pivotTable tabId="2" name="PT_RevenueCategory"/>
  </pivotTables>
  <data>
    <tabular pivotCacheId="210966235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adingDate" xr10:uid="{E04456EB-8105-4F82-885B-7D66716ED5D7}" sourceName="Months (ReadingDate)">
  <pivotTables>
    <pivotTable tabId="2" name="PT_MonthlyUnits"/>
    <pivotTable tabId="2" name="PT_AvgConsumption"/>
  </pivotTables>
  <data>
    <tabular pivotCacheId="210966235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Status" xr10:uid="{3D0BA627-9089-4EC5-B89A-3D1D4F4DC303}" sourceName="PaymentStatus">
  <pivotTables>
    <pivotTable tabId="2" name="PT_PaymentStatus"/>
  </pivotTables>
  <data>
    <tabular pivotCacheId="21096623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Name" xr10:uid="{D1F39C57-4494-490B-98A2-90A2ED0D7261}" cache="Slicer_StateName" caption="StateName" rowHeight="234950"/>
  <slicer name="CategoryName" xr10:uid="{DF83DEAA-D6EC-4639-AD9C-C1F75B7AF5C4}" cache="Slicer_CategoryName" caption="CategoryName" rowHeight="234950"/>
  <slicer name="Months (ReadingDate)" xr10:uid="{5E65DAA7-E201-4848-8BCF-5B5BFCB6CD5F}" cache="Slicer_Months__ReadingDate" caption="Months (ReadingDate)" rowHeight="234950"/>
  <slicer name="PaymentStatus" xr10:uid="{C92AEEEC-78CB-4460-94DD-8C5AD71E9952}" cache="Slicer_PaymentStatus" caption="Payment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9D71FB-7564-4A6C-A64C-7B6CC6FF4D9D}" name="vw_DashboardData" displayName="vw_DashboardData" ref="A1:L1201" tableType="queryTable" totalsRowShown="0">
  <autoFilter ref="A1:L1201" xr:uid="{089D71FB-7564-4A6C-A64C-7B6CC6FF4D9D}"/>
  <sortState xmlns:xlrd2="http://schemas.microsoft.com/office/spreadsheetml/2017/richdata2" ref="A2:L1201">
    <sortCondition ref="A1:A1201"/>
  </sortState>
  <tableColumns count="12">
    <tableColumn id="1" xr3:uid="{87C02130-CCD4-43DE-B5F5-4832A5418674}" uniqueName="1" name="CustomerID" queryTableFieldId="1"/>
    <tableColumn id="2" xr3:uid="{7F733849-4032-4CDD-AD7C-E5221C5D6A27}" uniqueName="2" name="FirstName" queryTableFieldId="2" dataDxfId="6"/>
    <tableColumn id="3" xr3:uid="{D4D66CC3-E8D2-452D-8591-4770BC0134D8}" uniqueName="3" name="LastName" queryTableFieldId="3" dataDxfId="5"/>
    <tableColumn id="4" xr3:uid="{A97AA673-28B3-4CE1-84CC-B52D9F7F0DCD}" uniqueName="4" name="CategoryName" queryTableFieldId="4" dataDxfId="4"/>
    <tableColumn id="5" xr3:uid="{6DEE5A9F-0CC9-41F0-AB6E-5A60B50F9541}" uniqueName="5" name="CityName" queryTableFieldId="5" dataDxfId="3"/>
    <tableColumn id="6" xr3:uid="{8A239875-1614-429D-BBDB-3BD6D80E16C9}" uniqueName="6" name="StateName" queryTableFieldId="6" dataDxfId="2"/>
    <tableColumn id="7" xr3:uid="{31A068FB-D4F2-45F2-9F18-E3286BCA3C14}" uniqueName="7" name="ReadingDate" queryTableFieldId="7" dataDxfId="1"/>
    <tableColumn id="8" xr3:uid="{266439DF-4A43-43D5-A2DC-E55FA3ABF696}" uniqueName="8" name="UnitsConsumed" queryTableFieldId="8"/>
    <tableColumn id="9" xr3:uid="{953AD2F5-A335-48A2-A35E-012E8C15549C}" uniqueName="9" name="PeakDemand" queryTableFieldId="9"/>
    <tableColumn id="10" xr3:uid="{947517C0-A8B9-4BEB-85BD-C8F35FD6506B}" uniqueName="10" name="PowerFactor" queryTableFieldId="10"/>
    <tableColumn id="11" xr3:uid="{52F9D396-9797-413E-866F-CADAE26223F9}" uniqueName="11" name="BillAmount" queryTableFieldId="11"/>
    <tableColumn id="12" xr3:uid="{C5656B48-D704-447F-93A2-C5BF61BC6A0B}" uniqueName="12" name="PaymentStatus"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showGridLines="0" zoomScale="80" zoomScaleNormal="80" workbookViewId="0">
      <selection activeCell="N13" sqref="N13"/>
    </sheetView>
  </sheetViews>
  <sheetFormatPr defaultRowHeight="14.4" x14ac:dyDescent="0.3"/>
  <cols>
    <col min="1" max="12" width="16.77734375" style="4" customWidth="1"/>
    <col min="13" max="13" width="8.88671875" style="4"/>
    <col min="14" max="14" width="39.88671875" style="4" bestFit="1" customWidth="1"/>
    <col min="15" max="16384" width="8.88671875" style="4"/>
  </cols>
  <sheetData>
    <row r="1" spans="1:14" ht="25.05" customHeight="1" x14ac:dyDescent="0.3">
      <c r="A1" s="7" t="s">
        <v>258</v>
      </c>
      <c r="B1" s="8"/>
      <c r="C1" s="8"/>
      <c r="D1" s="8"/>
      <c r="E1" s="8"/>
      <c r="F1" s="8"/>
      <c r="G1" s="8"/>
      <c r="H1" s="8"/>
      <c r="I1" s="8"/>
      <c r="J1" s="8"/>
      <c r="K1" s="8"/>
      <c r="L1" s="8"/>
    </row>
    <row r="2" spans="1:14" ht="25.05" customHeight="1" x14ac:dyDescent="0.3">
      <c r="A2" s="8"/>
      <c r="B2" s="8"/>
      <c r="C2" s="8"/>
      <c r="D2" s="8"/>
      <c r="E2" s="8"/>
      <c r="F2" s="8"/>
      <c r="G2" s="8"/>
      <c r="H2" s="8"/>
      <c r="I2" s="8"/>
      <c r="J2" s="8"/>
      <c r="K2" s="8"/>
      <c r="L2" s="8"/>
    </row>
    <row r="3" spans="1:14" ht="25.05" customHeight="1" x14ac:dyDescent="0.3">
      <c r="A3" s="5"/>
      <c r="B3" s="6"/>
      <c r="C3" s="6"/>
      <c r="N3" s="4" t="s">
        <v>259</v>
      </c>
    </row>
    <row r="4" spans="1:14" ht="25.05" customHeight="1" x14ac:dyDescent="0.3">
      <c r="A4" s="6"/>
      <c r="B4" s="6"/>
      <c r="C4" s="6"/>
      <c r="N4" s="4">
        <f>ROWS(_xlfn.UNIQUE(vw_DashboardData[CustomerID]))</f>
        <v>100</v>
      </c>
    </row>
    <row r="5" spans="1:14" ht="25.05" customHeight="1" x14ac:dyDescent="0.3">
      <c r="N5" s="4" t="s">
        <v>260</v>
      </c>
    </row>
    <row r="6" spans="1:14" ht="25.05" customHeight="1" x14ac:dyDescent="0.3">
      <c r="N6" s="4">
        <f>SUM(vw_DashboardData[BillAmount])</f>
        <v>2792507.1999999974</v>
      </c>
    </row>
    <row r="7" spans="1:14" ht="25.05" customHeight="1" x14ac:dyDescent="0.3">
      <c r="N7" s="4" t="s">
        <v>261</v>
      </c>
    </row>
    <row r="8" spans="1:14" ht="25.05" customHeight="1" x14ac:dyDescent="0.3">
      <c r="N8" s="4">
        <f>SUM(vw_DashboardData[UnitsConsumed])</f>
        <v>333990</v>
      </c>
    </row>
    <row r="9" spans="1:14" ht="25.05" customHeight="1" x14ac:dyDescent="0.3">
      <c r="N9" s="4" t="s">
        <v>262</v>
      </c>
    </row>
    <row r="10" spans="1:14" ht="25.05" customHeight="1" x14ac:dyDescent="0.3">
      <c r="N10" s="4">
        <f>ROUND(AVERAGE(vw_DashboardData[UnitsConsumed]),2)</f>
        <v>278.33</v>
      </c>
    </row>
    <row r="11" spans="1:14" ht="25.05" customHeight="1" x14ac:dyDescent="0.3"/>
    <row r="12" spans="1:14" ht="25.05" customHeight="1" x14ac:dyDescent="0.3"/>
    <row r="13" spans="1:14" ht="25.05" customHeight="1" x14ac:dyDescent="0.3"/>
    <row r="14" spans="1:14" ht="25.05" customHeight="1" x14ac:dyDescent="0.3"/>
    <row r="15" spans="1:14" ht="25.05" customHeight="1" x14ac:dyDescent="0.3"/>
    <row r="16" spans="1:14" ht="25.05" customHeight="1" x14ac:dyDescent="0.3"/>
    <row r="17" s="4" customFormat="1" ht="25.05" customHeight="1" x14ac:dyDescent="0.3"/>
    <row r="18" s="4" customFormat="1" ht="25.05" customHeight="1" x14ac:dyDescent="0.3"/>
    <row r="19" s="4" customFormat="1" ht="25.05" customHeight="1" x14ac:dyDescent="0.3"/>
    <row r="20" s="4" customFormat="1" ht="25.05" customHeight="1" x14ac:dyDescent="0.3"/>
    <row r="21" s="4" customFormat="1" ht="25.05" customHeight="1" x14ac:dyDescent="0.3"/>
    <row r="22" s="4" customFormat="1" ht="25.05" customHeight="1" x14ac:dyDescent="0.3"/>
    <row r="23" s="4" customFormat="1" ht="25.05" customHeight="1" x14ac:dyDescent="0.3"/>
    <row r="24" s="4" customFormat="1" ht="25.05" customHeight="1" x14ac:dyDescent="0.3"/>
    <row r="25" s="4" customFormat="1" ht="25.05" customHeight="1" x14ac:dyDescent="0.3"/>
    <row r="26" s="4" customFormat="1" ht="25.05" customHeight="1" x14ac:dyDescent="0.3"/>
    <row r="27" s="4" customFormat="1" ht="25.05" customHeight="1" x14ac:dyDescent="0.3"/>
    <row r="28" s="4" customFormat="1" ht="25.05" customHeight="1" x14ac:dyDescent="0.3"/>
    <row r="29" s="4" customFormat="1" ht="25.05" customHeight="1" x14ac:dyDescent="0.3"/>
    <row r="30" s="4" customFormat="1" ht="25.05" customHeight="1" x14ac:dyDescent="0.3"/>
    <row r="31" s="4" customFormat="1" ht="25.05" customHeight="1" x14ac:dyDescent="0.3"/>
    <row r="32" s="4" customFormat="1" ht="25.05" customHeight="1" x14ac:dyDescent="0.3"/>
    <row r="33" s="4" customFormat="1" ht="25.05" customHeight="1" x14ac:dyDescent="0.3"/>
    <row r="34" s="4" customFormat="1" ht="25.05" customHeight="1" x14ac:dyDescent="0.3"/>
    <row r="35" s="4" customFormat="1" ht="25.05" customHeight="1" x14ac:dyDescent="0.3"/>
  </sheetData>
  <mergeCells count="1">
    <mergeCell ref="A1: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E5DD-0B15-41C6-B166-1C58D74F511F}">
  <dimension ref="A2:K22"/>
  <sheetViews>
    <sheetView tabSelected="1" workbookViewId="0">
      <selection activeCell="K9" sqref="K9"/>
    </sheetView>
  </sheetViews>
  <sheetFormatPr defaultRowHeight="14.4" x14ac:dyDescent="0.3"/>
  <cols>
    <col min="1" max="1" width="12.5546875" bestFit="1" customWidth="1"/>
    <col min="2" max="2" width="21" bestFit="1" customWidth="1"/>
    <col min="4" max="4" width="12.5546875" bestFit="1" customWidth="1"/>
    <col min="5" max="5" width="24.21875" bestFit="1" customWidth="1"/>
    <col min="6" max="6" width="12.5546875" bestFit="1" customWidth="1"/>
    <col min="7" max="7" width="8.88671875" bestFit="1" customWidth="1"/>
    <col min="8" max="8" width="21" bestFit="1" customWidth="1"/>
    <col min="9" max="9" width="12.5546875" bestFit="1" customWidth="1"/>
    <col min="10" max="10" width="16.33203125" customWidth="1"/>
    <col min="11" max="11" width="16.88671875" bestFit="1" customWidth="1"/>
    <col min="12" max="13" width="24.21875" bestFit="1" customWidth="1"/>
  </cols>
  <sheetData>
    <row r="2" spans="1:11" x14ac:dyDescent="0.3">
      <c r="A2" s="2" t="s">
        <v>240</v>
      </c>
      <c r="B2" t="s">
        <v>254</v>
      </c>
      <c r="D2" s="2" t="s">
        <v>240</v>
      </c>
      <c r="E2" t="s">
        <v>257</v>
      </c>
      <c r="G2" s="2" t="s">
        <v>240</v>
      </c>
      <c r="H2" t="s">
        <v>254</v>
      </c>
    </row>
    <row r="3" spans="1:11" x14ac:dyDescent="0.3">
      <c r="A3" s="3" t="s">
        <v>242</v>
      </c>
      <c r="B3">
        <v>27114</v>
      </c>
      <c r="D3" s="3" t="s">
        <v>242</v>
      </c>
      <c r="E3">
        <v>271.14</v>
      </c>
      <c r="G3" s="3" t="s">
        <v>42</v>
      </c>
      <c r="H3">
        <v>78969</v>
      </c>
    </row>
    <row r="4" spans="1:11" x14ac:dyDescent="0.3">
      <c r="A4" s="3" t="s">
        <v>243</v>
      </c>
      <c r="B4">
        <v>27452</v>
      </c>
      <c r="D4" s="3" t="s">
        <v>243</v>
      </c>
      <c r="E4">
        <v>274.52</v>
      </c>
      <c r="G4" s="3" t="s">
        <v>24</v>
      </c>
      <c r="H4">
        <v>83195</v>
      </c>
    </row>
    <row r="5" spans="1:11" x14ac:dyDescent="0.3">
      <c r="A5" s="3" t="s">
        <v>244</v>
      </c>
      <c r="B5">
        <v>28347</v>
      </c>
      <c r="D5" s="3" t="s">
        <v>244</v>
      </c>
      <c r="E5">
        <v>283.47000000000003</v>
      </c>
      <c r="G5" s="3" t="s">
        <v>32</v>
      </c>
      <c r="H5">
        <v>84147</v>
      </c>
    </row>
    <row r="6" spans="1:11" x14ac:dyDescent="0.3">
      <c r="A6" s="3" t="s">
        <v>245</v>
      </c>
      <c r="B6">
        <v>28599</v>
      </c>
      <c r="D6" s="3" t="s">
        <v>245</v>
      </c>
      <c r="E6">
        <v>285.99</v>
      </c>
      <c r="G6" s="3" t="s">
        <v>14</v>
      </c>
      <c r="H6">
        <v>87679</v>
      </c>
    </row>
    <row r="7" spans="1:11" x14ac:dyDescent="0.3">
      <c r="A7" s="3" t="s">
        <v>246</v>
      </c>
      <c r="B7">
        <v>26670</v>
      </c>
      <c r="D7" s="3" t="s">
        <v>246</v>
      </c>
      <c r="E7">
        <v>266.7</v>
      </c>
      <c r="G7" s="3" t="s">
        <v>241</v>
      </c>
      <c r="H7">
        <v>333990</v>
      </c>
    </row>
    <row r="8" spans="1:11" x14ac:dyDescent="0.3">
      <c r="A8" s="3" t="s">
        <v>247</v>
      </c>
      <c r="B8">
        <v>26867</v>
      </c>
      <c r="D8" s="3" t="s">
        <v>247</v>
      </c>
      <c r="E8">
        <v>268.67</v>
      </c>
    </row>
    <row r="9" spans="1:11" x14ac:dyDescent="0.3">
      <c r="A9" s="3" t="s">
        <v>248</v>
      </c>
      <c r="B9">
        <v>27957</v>
      </c>
      <c r="D9" s="3" t="s">
        <v>248</v>
      </c>
      <c r="E9">
        <v>279.57</v>
      </c>
      <c r="G9" s="2" t="s">
        <v>240</v>
      </c>
      <c r="H9" t="s">
        <v>255</v>
      </c>
    </row>
    <row r="10" spans="1:11" x14ac:dyDescent="0.3">
      <c r="A10" s="3" t="s">
        <v>249</v>
      </c>
      <c r="B10">
        <v>28663</v>
      </c>
      <c r="D10" s="3" t="s">
        <v>249</v>
      </c>
      <c r="E10">
        <v>286.63</v>
      </c>
      <c r="G10" s="3" t="s">
        <v>42</v>
      </c>
      <c r="H10">
        <v>400651.2000000003</v>
      </c>
    </row>
    <row r="11" spans="1:11" x14ac:dyDescent="0.3">
      <c r="A11" s="3" t="s">
        <v>250</v>
      </c>
      <c r="B11">
        <v>27049</v>
      </c>
      <c r="D11" s="3" t="s">
        <v>250</v>
      </c>
      <c r="E11">
        <v>270.49</v>
      </c>
      <c r="G11" s="3" t="s">
        <v>24</v>
      </c>
      <c r="H11">
        <v>757198.99999999977</v>
      </c>
    </row>
    <row r="12" spans="1:11" x14ac:dyDescent="0.3">
      <c r="A12" s="3" t="s">
        <v>251</v>
      </c>
      <c r="B12">
        <v>29835</v>
      </c>
      <c r="D12" s="3" t="s">
        <v>251</v>
      </c>
      <c r="E12">
        <v>298.35000000000002</v>
      </c>
      <c r="G12" s="3" t="s">
        <v>32</v>
      </c>
      <c r="H12">
        <v>1033543.5</v>
      </c>
    </row>
    <row r="13" spans="1:11" x14ac:dyDescent="0.3">
      <c r="A13" s="3" t="s">
        <v>252</v>
      </c>
      <c r="B13">
        <v>27682</v>
      </c>
      <c r="D13" s="3" t="s">
        <v>252</v>
      </c>
      <c r="E13">
        <v>276.82</v>
      </c>
      <c r="G13" s="3" t="s">
        <v>14</v>
      </c>
      <c r="H13">
        <v>601113.5</v>
      </c>
      <c r="J13" s="2" t="s">
        <v>240</v>
      </c>
      <c r="K13" t="s">
        <v>255</v>
      </c>
    </row>
    <row r="14" spans="1:11" x14ac:dyDescent="0.3">
      <c r="A14" s="3" t="s">
        <v>253</v>
      </c>
      <c r="B14">
        <v>27755</v>
      </c>
      <c r="D14" s="3" t="s">
        <v>253</v>
      </c>
      <c r="E14">
        <v>277.55</v>
      </c>
      <c r="G14" s="3" t="s">
        <v>241</v>
      </c>
      <c r="H14">
        <v>2792507.2</v>
      </c>
      <c r="J14" s="3" t="s">
        <v>73</v>
      </c>
      <c r="K14">
        <v>162286.59999999998</v>
      </c>
    </row>
    <row r="15" spans="1:11" x14ac:dyDescent="0.3">
      <c r="A15" s="3" t="s">
        <v>241</v>
      </c>
      <c r="B15">
        <v>333990</v>
      </c>
      <c r="D15" s="3" t="s">
        <v>241</v>
      </c>
      <c r="E15">
        <v>278.32499999999999</v>
      </c>
      <c r="J15" s="3" t="s">
        <v>26</v>
      </c>
      <c r="K15">
        <v>624754.2000000003</v>
      </c>
    </row>
    <row r="16" spans="1:11" x14ac:dyDescent="0.3">
      <c r="J16" s="3" t="s">
        <v>34</v>
      </c>
      <c r="K16">
        <v>394614.60000000015</v>
      </c>
    </row>
    <row r="17" spans="6:11" x14ac:dyDescent="0.3">
      <c r="J17" s="3" t="s">
        <v>16</v>
      </c>
      <c r="K17">
        <v>620177.00000000012</v>
      </c>
    </row>
    <row r="18" spans="6:11" x14ac:dyDescent="0.3">
      <c r="J18" s="3" t="s">
        <v>51</v>
      </c>
      <c r="K18">
        <v>494527.99999999994</v>
      </c>
    </row>
    <row r="19" spans="6:11" x14ac:dyDescent="0.3">
      <c r="F19" s="2" t="s">
        <v>240</v>
      </c>
      <c r="G19" t="s">
        <v>256</v>
      </c>
      <c r="J19" s="3" t="s">
        <v>66</v>
      </c>
      <c r="K19">
        <v>313650.00000000006</v>
      </c>
    </row>
    <row r="20" spans="6:11" x14ac:dyDescent="0.3">
      <c r="F20" s="3" t="s">
        <v>18</v>
      </c>
      <c r="G20">
        <v>1007</v>
      </c>
      <c r="J20" s="3" t="s">
        <v>77</v>
      </c>
      <c r="K20">
        <v>182496.79999999996</v>
      </c>
    </row>
    <row r="21" spans="6:11" x14ac:dyDescent="0.3">
      <c r="F21" s="3" t="s">
        <v>17</v>
      </c>
      <c r="G21">
        <v>193</v>
      </c>
      <c r="J21" s="3" t="s">
        <v>241</v>
      </c>
      <c r="K21">
        <v>2792507.2</v>
      </c>
    </row>
    <row r="22" spans="6:11" x14ac:dyDescent="0.3">
      <c r="F22" s="3" t="s">
        <v>241</v>
      </c>
      <c r="G22">
        <v>1200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C6D6-9605-474F-8C5C-8F03F670FE15}">
  <dimension ref="A1:L1201"/>
  <sheetViews>
    <sheetView workbookViewId="0">
      <pane ySplit="1" topLeftCell="A2" activePane="bottomLeft" state="frozen"/>
      <selection pane="bottomLeft" activeCell="I13" sqref="I13"/>
    </sheetView>
  </sheetViews>
  <sheetFormatPr defaultRowHeight="14.4" x14ac:dyDescent="0.3"/>
  <cols>
    <col min="1" max="1" width="13.109375" bestFit="1" customWidth="1"/>
    <col min="2" max="2" width="11.6640625" bestFit="1" customWidth="1"/>
    <col min="3" max="3" width="11.5546875" bestFit="1" customWidth="1"/>
    <col min="4" max="4" width="15.88671875" bestFit="1" customWidth="1"/>
    <col min="5" max="5" width="11.44140625" bestFit="1" customWidth="1"/>
    <col min="6" max="6" width="12.5546875" bestFit="1" customWidth="1"/>
    <col min="7" max="7" width="13.88671875" bestFit="1" customWidth="1"/>
    <col min="8" max="8" width="16.6640625" bestFit="1" customWidth="1"/>
    <col min="9" max="9" width="14.44140625" bestFit="1" customWidth="1"/>
    <col min="10" max="10" width="13.77734375" bestFit="1" customWidth="1"/>
    <col min="11" max="11" width="12.5546875" bestFit="1" customWidth="1"/>
    <col min="12" max="12" width="16.109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v>
      </c>
      <c r="B2" t="s">
        <v>12</v>
      </c>
      <c r="C2" t="s">
        <v>13</v>
      </c>
      <c r="D2" t="s">
        <v>14</v>
      </c>
      <c r="E2" t="s">
        <v>15</v>
      </c>
      <c r="F2" t="s">
        <v>16</v>
      </c>
      <c r="G2" s="1">
        <v>45658</v>
      </c>
      <c r="H2">
        <v>280</v>
      </c>
      <c r="I2">
        <v>7</v>
      </c>
      <c r="J2">
        <v>0.97</v>
      </c>
      <c r="K2">
        <v>1920</v>
      </c>
      <c r="L2" t="s">
        <v>17</v>
      </c>
    </row>
    <row r="3" spans="1:12" x14ac:dyDescent="0.3">
      <c r="A3">
        <v>2</v>
      </c>
      <c r="B3" t="s">
        <v>12</v>
      </c>
      <c r="C3" t="s">
        <v>13</v>
      </c>
      <c r="D3" t="s">
        <v>14</v>
      </c>
      <c r="E3" t="s">
        <v>15</v>
      </c>
      <c r="F3" t="s">
        <v>16</v>
      </c>
      <c r="G3" s="1">
        <v>45689</v>
      </c>
      <c r="H3">
        <v>349</v>
      </c>
      <c r="I3">
        <v>10</v>
      </c>
      <c r="J3">
        <v>0.86</v>
      </c>
      <c r="K3">
        <v>2368.5</v>
      </c>
      <c r="L3" t="s">
        <v>18</v>
      </c>
    </row>
    <row r="4" spans="1:12" x14ac:dyDescent="0.3">
      <c r="A4">
        <v>2</v>
      </c>
      <c r="B4" t="s">
        <v>12</v>
      </c>
      <c r="C4" t="s">
        <v>13</v>
      </c>
      <c r="D4" t="s">
        <v>14</v>
      </c>
      <c r="E4" t="s">
        <v>15</v>
      </c>
      <c r="F4" t="s">
        <v>16</v>
      </c>
      <c r="G4" s="1">
        <v>45717</v>
      </c>
      <c r="H4">
        <v>287</v>
      </c>
      <c r="I4">
        <v>10</v>
      </c>
      <c r="J4">
        <v>0.9</v>
      </c>
      <c r="K4">
        <v>1965.5</v>
      </c>
      <c r="L4" t="s">
        <v>18</v>
      </c>
    </row>
    <row r="5" spans="1:12" x14ac:dyDescent="0.3">
      <c r="A5">
        <v>2</v>
      </c>
      <c r="B5" t="s">
        <v>12</v>
      </c>
      <c r="C5" t="s">
        <v>13</v>
      </c>
      <c r="D5" t="s">
        <v>14</v>
      </c>
      <c r="E5" t="s">
        <v>15</v>
      </c>
      <c r="F5" t="s">
        <v>16</v>
      </c>
      <c r="G5" s="1">
        <v>45748</v>
      </c>
      <c r="H5">
        <v>244</v>
      </c>
      <c r="I5">
        <v>6</v>
      </c>
      <c r="J5">
        <v>0.89</v>
      </c>
      <c r="K5">
        <v>1686</v>
      </c>
      <c r="L5" t="s">
        <v>17</v>
      </c>
    </row>
    <row r="6" spans="1:12" x14ac:dyDescent="0.3">
      <c r="A6">
        <v>2</v>
      </c>
      <c r="B6" t="s">
        <v>12</v>
      </c>
      <c r="C6" t="s">
        <v>13</v>
      </c>
      <c r="D6" t="s">
        <v>14</v>
      </c>
      <c r="E6" t="s">
        <v>15</v>
      </c>
      <c r="F6" t="s">
        <v>16</v>
      </c>
      <c r="G6" s="1">
        <v>45778</v>
      </c>
      <c r="H6">
        <v>275</v>
      </c>
      <c r="I6">
        <v>6</v>
      </c>
      <c r="J6">
        <v>0.87</v>
      </c>
      <c r="K6">
        <v>1887.5</v>
      </c>
      <c r="L6" t="s">
        <v>18</v>
      </c>
    </row>
    <row r="7" spans="1:12" x14ac:dyDescent="0.3">
      <c r="A7">
        <v>2</v>
      </c>
      <c r="B7" t="s">
        <v>12</v>
      </c>
      <c r="C7" t="s">
        <v>13</v>
      </c>
      <c r="D7" t="s">
        <v>14</v>
      </c>
      <c r="E7" t="s">
        <v>15</v>
      </c>
      <c r="F7" t="s">
        <v>16</v>
      </c>
      <c r="G7" s="1">
        <v>45809</v>
      </c>
      <c r="H7">
        <v>386</v>
      </c>
      <c r="I7">
        <v>9</v>
      </c>
      <c r="J7">
        <v>0.86</v>
      </c>
      <c r="K7">
        <v>2609</v>
      </c>
      <c r="L7" t="s">
        <v>18</v>
      </c>
    </row>
    <row r="8" spans="1:12" x14ac:dyDescent="0.3">
      <c r="A8">
        <v>2</v>
      </c>
      <c r="B8" t="s">
        <v>12</v>
      </c>
      <c r="C8" t="s">
        <v>13</v>
      </c>
      <c r="D8" t="s">
        <v>14</v>
      </c>
      <c r="E8" t="s">
        <v>15</v>
      </c>
      <c r="F8" t="s">
        <v>16</v>
      </c>
      <c r="G8" s="1">
        <v>45839</v>
      </c>
      <c r="H8">
        <v>199</v>
      </c>
      <c r="I8">
        <v>6</v>
      </c>
      <c r="J8">
        <v>0.87</v>
      </c>
      <c r="K8">
        <v>1393.5</v>
      </c>
      <c r="L8" t="s">
        <v>18</v>
      </c>
    </row>
    <row r="9" spans="1:12" x14ac:dyDescent="0.3">
      <c r="A9">
        <v>2</v>
      </c>
      <c r="B9" t="s">
        <v>12</v>
      </c>
      <c r="C9" t="s">
        <v>13</v>
      </c>
      <c r="D9" t="s">
        <v>14</v>
      </c>
      <c r="E9" t="s">
        <v>15</v>
      </c>
      <c r="F9" t="s">
        <v>16</v>
      </c>
      <c r="G9" s="1">
        <v>45870</v>
      </c>
      <c r="H9">
        <v>291</v>
      </c>
      <c r="I9">
        <v>8</v>
      </c>
      <c r="J9">
        <v>0.87</v>
      </c>
      <c r="K9">
        <v>1991.5</v>
      </c>
      <c r="L9" t="s">
        <v>18</v>
      </c>
    </row>
    <row r="10" spans="1:12" x14ac:dyDescent="0.3">
      <c r="A10">
        <v>2</v>
      </c>
      <c r="B10" t="s">
        <v>12</v>
      </c>
      <c r="C10" t="s">
        <v>13</v>
      </c>
      <c r="D10" t="s">
        <v>14</v>
      </c>
      <c r="E10" t="s">
        <v>15</v>
      </c>
      <c r="F10" t="s">
        <v>16</v>
      </c>
      <c r="G10" s="1">
        <v>45901</v>
      </c>
      <c r="H10">
        <v>169</v>
      </c>
      <c r="I10">
        <v>10</v>
      </c>
      <c r="J10">
        <v>0.92</v>
      </c>
      <c r="K10">
        <v>1198.5</v>
      </c>
      <c r="L10" t="s">
        <v>18</v>
      </c>
    </row>
    <row r="11" spans="1:12" x14ac:dyDescent="0.3">
      <c r="A11">
        <v>2</v>
      </c>
      <c r="B11" t="s">
        <v>12</v>
      </c>
      <c r="C11" t="s">
        <v>13</v>
      </c>
      <c r="D11" t="s">
        <v>14</v>
      </c>
      <c r="E11" t="s">
        <v>15</v>
      </c>
      <c r="F11" t="s">
        <v>16</v>
      </c>
      <c r="G11" s="1">
        <v>45931</v>
      </c>
      <c r="H11">
        <v>238</v>
      </c>
      <c r="I11">
        <v>3</v>
      </c>
      <c r="J11">
        <v>0.97</v>
      </c>
      <c r="K11">
        <v>1647</v>
      </c>
      <c r="L11" t="s">
        <v>18</v>
      </c>
    </row>
    <row r="12" spans="1:12" x14ac:dyDescent="0.3">
      <c r="A12">
        <v>2</v>
      </c>
      <c r="B12" t="s">
        <v>12</v>
      </c>
      <c r="C12" t="s">
        <v>13</v>
      </c>
      <c r="D12" t="s">
        <v>14</v>
      </c>
      <c r="E12" t="s">
        <v>15</v>
      </c>
      <c r="F12" t="s">
        <v>16</v>
      </c>
      <c r="G12" s="1">
        <v>45962</v>
      </c>
      <c r="H12">
        <v>266</v>
      </c>
      <c r="I12">
        <v>7</v>
      </c>
      <c r="J12">
        <v>0.99</v>
      </c>
      <c r="K12">
        <v>1829</v>
      </c>
      <c r="L12" t="s">
        <v>18</v>
      </c>
    </row>
    <row r="13" spans="1:12" x14ac:dyDescent="0.3">
      <c r="A13">
        <v>2</v>
      </c>
      <c r="B13" t="s">
        <v>12</v>
      </c>
      <c r="C13" t="s">
        <v>13</v>
      </c>
      <c r="D13" t="s">
        <v>14</v>
      </c>
      <c r="E13" t="s">
        <v>15</v>
      </c>
      <c r="F13" t="s">
        <v>16</v>
      </c>
      <c r="G13" s="1">
        <v>45992</v>
      </c>
      <c r="H13">
        <v>313</v>
      </c>
      <c r="I13">
        <v>4</v>
      </c>
      <c r="J13">
        <v>0.86</v>
      </c>
      <c r="K13">
        <v>2134.5</v>
      </c>
      <c r="L13" t="s">
        <v>17</v>
      </c>
    </row>
    <row r="14" spans="1:12" x14ac:dyDescent="0.3">
      <c r="A14">
        <v>3</v>
      </c>
      <c r="B14" t="s">
        <v>19</v>
      </c>
      <c r="C14" t="s">
        <v>20</v>
      </c>
      <c r="D14" t="s">
        <v>14</v>
      </c>
      <c r="E14" t="s">
        <v>21</v>
      </c>
      <c r="F14" t="s">
        <v>16</v>
      </c>
      <c r="G14" s="1">
        <v>45658</v>
      </c>
      <c r="H14">
        <v>341</v>
      </c>
      <c r="I14">
        <v>10</v>
      </c>
      <c r="J14">
        <v>0.93</v>
      </c>
      <c r="K14">
        <v>2316.5</v>
      </c>
      <c r="L14" t="s">
        <v>18</v>
      </c>
    </row>
    <row r="15" spans="1:12" x14ac:dyDescent="0.3">
      <c r="A15">
        <v>3</v>
      </c>
      <c r="B15" t="s">
        <v>19</v>
      </c>
      <c r="C15" t="s">
        <v>20</v>
      </c>
      <c r="D15" t="s">
        <v>14</v>
      </c>
      <c r="E15" t="s">
        <v>21</v>
      </c>
      <c r="F15" t="s">
        <v>16</v>
      </c>
      <c r="G15" s="1">
        <v>45689</v>
      </c>
      <c r="H15">
        <v>292</v>
      </c>
      <c r="I15">
        <v>3</v>
      </c>
      <c r="J15">
        <v>0.94</v>
      </c>
      <c r="K15">
        <v>1998</v>
      </c>
      <c r="L15" t="s">
        <v>18</v>
      </c>
    </row>
    <row r="16" spans="1:12" x14ac:dyDescent="0.3">
      <c r="A16">
        <v>3</v>
      </c>
      <c r="B16" t="s">
        <v>19</v>
      </c>
      <c r="C16" t="s">
        <v>20</v>
      </c>
      <c r="D16" t="s">
        <v>14</v>
      </c>
      <c r="E16" t="s">
        <v>21</v>
      </c>
      <c r="F16" t="s">
        <v>16</v>
      </c>
      <c r="G16" s="1">
        <v>45717</v>
      </c>
      <c r="H16">
        <v>226</v>
      </c>
      <c r="I16">
        <v>5</v>
      </c>
      <c r="J16">
        <v>0.93</v>
      </c>
      <c r="K16">
        <v>1569</v>
      </c>
      <c r="L16" t="s">
        <v>18</v>
      </c>
    </row>
    <row r="17" spans="1:12" x14ac:dyDescent="0.3">
      <c r="A17">
        <v>3</v>
      </c>
      <c r="B17" t="s">
        <v>19</v>
      </c>
      <c r="C17" t="s">
        <v>20</v>
      </c>
      <c r="D17" t="s">
        <v>14</v>
      </c>
      <c r="E17" t="s">
        <v>21</v>
      </c>
      <c r="F17" t="s">
        <v>16</v>
      </c>
      <c r="G17" s="1">
        <v>45748</v>
      </c>
      <c r="H17">
        <v>355</v>
      </c>
      <c r="I17">
        <v>7</v>
      </c>
      <c r="J17">
        <v>0.98</v>
      </c>
      <c r="K17">
        <v>2407.5</v>
      </c>
      <c r="L17" t="s">
        <v>18</v>
      </c>
    </row>
    <row r="18" spans="1:12" x14ac:dyDescent="0.3">
      <c r="A18">
        <v>3</v>
      </c>
      <c r="B18" t="s">
        <v>19</v>
      </c>
      <c r="C18" t="s">
        <v>20</v>
      </c>
      <c r="D18" t="s">
        <v>14</v>
      </c>
      <c r="E18" t="s">
        <v>21</v>
      </c>
      <c r="F18" t="s">
        <v>16</v>
      </c>
      <c r="G18" s="1">
        <v>45778</v>
      </c>
      <c r="H18">
        <v>256</v>
      </c>
      <c r="I18">
        <v>4</v>
      </c>
      <c r="J18">
        <v>0.97</v>
      </c>
      <c r="K18">
        <v>1764</v>
      </c>
      <c r="L18" t="s">
        <v>17</v>
      </c>
    </row>
    <row r="19" spans="1:12" x14ac:dyDescent="0.3">
      <c r="A19">
        <v>3</v>
      </c>
      <c r="B19" t="s">
        <v>19</v>
      </c>
      <c r="C19" t="s">
        <v>20</v>
      </c>
      <c r="D19" t="s">
        <v>14</v>
      </c>
      <c r="E19" t="s">
        <v>21</v>
      </c>
      <c r="F19" t="s">
        <v>16</v>
      </c>
      <c r="G19" s="1">
        <v>45809</v>
      </c>
      <c r="H19">
        <v>386</v>
      </c>
      <c r="I19">
        <v>3</v>
      </c>
      <c r="J19">
        <v>0.93</v>
      </c>
      <c r="K19">
        <v>2609</v>
      </c>
      <c r="L19" t="s">
        <v>18</v>
      </c>
    </row>
    <row r="20" spans="1:12" x14ac:dyDescent="0.3">
      <c r="A20">
        <v>3</v>
      </c>
      <c r="B20" t="s">
        <v>19</v>
      </c>
      <c r="C20" t="s">
        <v>20</v>
      </c>
      <c r="D20" t="s">
        <v>14</v>
      </c>
      <c r="E20" t="s">
        <v>21</v>
      </c>
      <c r="F20" t="s">
        <v>16</v>
      </c>
      <c r="G20" s="1">
        <v>45839</v>
      </c>
      <c r="H20">
        <v>261</v>
      </c>
      <c r="I20">
        <v>2</v>
      </c>
      <c r="J20">
        <v>0.97</v>
      </c>
      <c r="K20">
        <v>1796.5</v>
      </c>
      <c r="L20" t="s">
        <v>18</v>
      </c>
    </row>
    <row r="21" spans="1:12" x14ac:dyDescent="0.3">
      <c r="A21">
        <v>3</v>
      </c>
      <c r="B21" t="s">
        <v>19</v>
      </c>
      <c r="C21" t="s">
        <v>20</v>
      </c>
      <c r="D21" t="s">
        <v>14</v>
      </c>
      <c r="E21" t="s">
        <v>21</v>
      </c>
      <c r="F21" t="s">
        <v>16</v>
      </c>
      <c r="G21" s="1">
        <v>45870</v>
      </c>
      <c r="H21">
        <v>213</v>
      </c>
      <c r="I21">
        <v>6</v>
      </c>
      <c r="J21">
        <v>0.93</v>
      </c>
      <c r="K21">
        <v>1484.5</v>
      </c>
      <c r="L21" t="s">
        <v>18</v>
      </c>
    </row>
    <row r="22" spans="1:12" x14ac:dyDescent="0.3">
      <c r="A22">
        <v>3</v>
      </c>
      <c r="B22" t="s">
        <v>19</v>
      </c>
      <c r="C22" t="s">
        <v>20</v>
      </c>
      <c r="D22" t="s">
        <v>14</v>
      </c>
      <c r="E22" t="s">
        <v>21</v>
      </c>
      <c r="F22" t="s">
        <v>16</v>
      </c>
      <c r="G22" s="1">
        <v>45901</v>
      </c>
      <c r="H22">
        <v>227</v>
      </c>
      <c r="I22">
        <v>7</v>
      </c>
      <c r="J22">
        <v>0.86</v>
      </c>
      <c r="K22">
        <v>1575.5</v>
      </c>
      <c r="L22" t="s">
        <v>18</v>
      </c>
    </row>
    <row r="23" spans="1:12" x14ac:dyDescent="0.3">
      <c r="A23">
        <v>3</v>
      </c>
      <c r="B23" t="s">
        <v>19</v>
      </c>
      <c r="C23" t="s">
        <v>20</v>
      </c>
      <c r="D23" t="s">
        <v>14</v>
      </c>
      <c r="E23" t="s">
        <v>21</v>
      </c>
      <c r="F23" t="s">
        <v>16</v>
      </c>
      <c r="G23" s="1">
        <v>45931</v>
      </c>
      <c r="H23">
        <v>220</v>
      </c>
      <c r="I23">
        <v>8</v>
      </c>
      <c r="J23">
        <v>0.92</v>
      </c>
      <c r="K23">
        <v>1530</v>
      </c>
      <c r="L23" t="s">
        <v>18</v>
      </c>
    </row>
    <row r="24" spans="1:12" x14ac:dyDescent="0.3">
      <c r="A24">
        <v>3</v>
      </c>
      <c r="B24" t="s">
        <v>19</v>
      </c>
      <c r="C24" t="s">
        <v>20</v>
      </c>
      <c r="D24" t="s">
        <v>14</v>
      </c>
      <c r="E24" t="s">
        <v>21</v>
      </c>
      <c r="F24" t="s">
        <v>16</v>
      </c>
      <c r="G24" s="1">
        <v>45962</v>
      </c>
      <c r="H24">
        <v>343</v>
      </c>
      <c r="I24">
        <v>4</v>
      </c>
      <c r="J24">
        <v>0.92</v>
      </c>
      <c r="K24">
        <v>2329.5</v>
      </c>
      <c r="L24" t="s">
        <v>17</v>
      </c>
    </row>
    <row r="25" spans="1:12" x14ac:dyDescent="0.3">
      <c r="A25">
        <v>3</v>
      </c>
      <c r="B25" t="s">
        <v>19</v>
      </c>
      <c r="C25" t="s">
        <v>20</v>
      </c>
      <c r="D25" t="s">
        <v>14</v>
      </c>
      <c r="E25" t="s">
        <v>21</v>
      </c>
      <c r="F25" t="s">
        <v>16</v>
      </c>
      <c r="G25" s="1">
        <v>45992</v>
      </c>
      <c r="H25">
        <v>336</v>
      </c>
      <c r="I25">
        <v>8</v>
      </c>
      <c r="J25">
        <v>0.91</v>
      </c>
      <c r="K25">
        <v>2284</v>
      </c>
      <c r="L25" t="s">
        <v>18</v>
      </c>
    </row>
    <row r="26" spans="1:12" x14ac:dyDescent="0.3">
      <c r="A26">
        <v>4</v>
      </c>
      <c r="B26" t="s">
        <v>22</v>
      </c>
      <c r="C26" t="s">
        <v>23</v>
      </c>
      <c r="D26" t="s">
        <v>24</v>
      </c>
      <c r="E26" t="s">
        <v>25</v>
      </c>
      <c r="F26" t="s">
        <v>26</v>
      </c>
      <c r="G26" s="1">
        <v>45658</v>
      </c>
      <c r="H26">
        <v>319</v>
      </c>
      <c r="I26">
        <v>8</v>
      </c>
      <c r="J26">
        <v>0.96</v>
      </c>
      <c r="K26">
        <v>2865.8</v>
      </c>
      <c r="L26" t="s">
        <v>17</v>
      </c>
    </row>
    <row r="27" spans="1:12" x14ac:dyDescent="0.3">
      <c r="A27">
        <v>4</v>
      </c>
      <c r="B27" t="s">
        <v>22</v>
      </c>
      <c r="C27" t="s">
        <v>23</v>
      </c>
      <c r="D27" t="s">
        <v>24</v>
      </c>
      <c r="E27" t="s">
        <v>25</v>
      </c>
      <c r="F27" t="s">
        <v>26</v>
      </c>
      <c r="G27" s="1">
        <v>45689</v>
      </c>
      <c r="H27">
        <v>184</v>
      </c>
      <c r="I27">
        <v>4</v>
      </c>
      <c r="J27">
        <v>0.94</v>
      </c>
      <c r="K27">
        <v>1758.8</v>
      </c>
      <c r="L27" t="s">
        <v>17</v>
      </c>
    </row>
    <row r="28" spans="1:12" x14ac:dyDescent="0.3">
      <c r="A28">
        <v>4</v>
      </c>
      <c r="B28" t="s">
        <v>22</v>
      </c>
      <c r="C28" t="s">
        <v>23</v>
      </c>
      <c r="D28" t="s">
        <v>24</v>
      </c>
      <c r="E28" t="s">
        <v>25</v>
      </c>
      <c r="F28" t="s">
        <v>26</v>
      </c>
      <c r="G28" s="1">
        <v>45717</v>
      </c>
      <c r="H28">
        <v>262</v>
      </c>
      <c r="I28">
        <v>6</v>
      </c>
      <c r="J28">
        <v>0.97</v>
      </c>
      <c r="K28">
        <v>2398.4</v>
      </c>
      <c r="L28" t="s">
        <v>18</v>
      </c>
    </row>
    <row r="29" spans="1:12" x14ac:dyDescent="0.3">
      <c r="A29">
        <v>4</v>
      </c>
      <c r="B29" t="s">
        <v>22</v>
      </c>
      <c r="C29" t="s">
        <v>23</v>
      </c>
      <c r="D29" t="s">
        <v>24</v>
      </c>
      <c r="E29" t="s">
        <v>25</v>
      </c>
      <c r="F29" t="s">
        <v>26</v>
      </c>
      <c r="G29" s="1">
        <v>45748</v>
      </c>
      <c r="H29">
        <v>323</v>
      </c>
      <c r="I29">
        <v>4</v>
      </c>
      <c r="J29">
        <v>0.89</v>
      </c>
      <c r="K29">
        <v>2898.6</v>
      </c>
      <c r="L29" t="s">
        <v>18</v>
      </c>
    </row>
    <row r="30" spans="1:12" x14ac:dyDescent="0.3">
      <c r="A30">
        <v>4</v>
      </c>
      <c r="B30" t="s">
        <v>22</v>
      </c>
      <c r="C30" t="s">
        <v>23</v>
      </c>
      <c r="D30" t="s">
        <v>24</v>
      </c>
      <c r="E30" t="s">
        <v>25</v>
      </c>
      <c r="F30" t="s">
        <v>26</v>
      </c>
      <c r="G30" s="1">
        <v>45778</v>
      </c>
      <c r="H30">
        <v>205</v>
      </c>
      <c r="I30">
        <v>6</v>
      </c>
      <c r="J30">
        <v>0.98</v>
      </c>
      <c r="K30">
        <v>1931</v>
      </c>
      <c r="L30" t="s">
        <v>18</v>
      </c>
    </row>
    <row r="31" spans="1:12" x14ac:dyDescent="0.3">
      <c r="A31">
        <v>4</v>
      </c>
      <c r="B31" t="s">
        <v>22</v>
      </c>
      <c r="C31" t="s">
        <v>23</v>
      </c>
      <c r="D31" t="s">
        <v>24</v>
      </c>
      <c r="E31" t="s">
        <v>25</v>
      </c>
      <c r="F31" t="s">
        <v>26</v>
      </c>
      <c r="G31" s="1">
        <v>45809</v>
      </c>
      <c r="H31">
        <v>324</v>
      </c>
      <c r="I31">
        <v>3</v>
      </c>
      <c r="J31">
        <v>0.88</v>
      </c>
      <c r="K31">
        <v>2906.8</v>
      </c>
      <c r="L31" t="s">
        <v>18</v>
      </c>
    </row>
    <row r="32" spans="1:12" x14ac:dyDescent="0.3">
      <c r="A32">
        <v>4</v>
      </c>
      <c r="B32" t="s">
        <v>22</v>
      </c>
      <c r="C32" t="s">
        <v>23</v>
      </c>
      <c r="D32" t="s">
        <v>24</v>
      </c>
      <c r="E32" t="s">
        <v>25</v>
      </c>
      <c r="F32" t="s">
        <v>26</v>
      </c>
      <c r="G32" s="1">
        <v>45839</v>
      </c>
      <c r="H32">
        <v>379</v>
      </c>
      <c r="I32">
        <v>3</v>
      </c>
      <c r="J32">
        <v>0.92</v>
      </c>
      <c r="K32">
        <v>3357.8</v>
      </c>
      <c r="L32" t="s">
        <v>18</v>
      </c>
    </row>
    <row r="33" spans="1:12" x14ac:dyDescent="0.3">
      <c r="A33">
        <v>4</v>
      </c>
      <c r="B33" t="s">
        <v>22</v>
      </c>
      <c r="C33" t="s">
        <v>23</v>
      </c>
      <c r="D33" t="s">
        <v>24</v>
      </c>
      <c r="E33" t="s">
        <v>25</v>
      </c>
      <c r="F33" t="s">
        <v>26</v>
      </c>
      <c r="G33" s="1">
        <v>45870</v>
      </c>
      <c r="H33">
        <v>260</v>
      </c>
      <c r="I33">
        <v>7</v>
      </c>
      <c r="J33">
        <v>0.94</v>
      </c>
      <c r="K33">
        <v>2382</v>
      </c>
      <c r="L33" t="s">
        <v>18</v>
      </c>
    </row>
    <row r="34" spans="1:12" x14ac:dyDescent="0.3">
      <c r="A34">
        <v>4</v>
      </c>
      <c r="B34" t="s">
        <v>22</v>
      </c>
      <c r="C34" t="s">
        <v>23</v>
      </c>
      <c r="D34" t="s">
        <v>24</v>
      </c>
      <c r="E34" t="s">
        <v>25</v>
      </c>
      <c r="F34" t="s">
        <v>26</v>
      </c>
      <c r="G34" s="1">
        <v>45901</v>
      </c>
      <c r="H34">
        <v>193</v>
      </c>
      <c r="I34">
        <v>6</v>
      </c>
      <c r="J34">
        <v>0.96</v>
      </c>
      <c r="K34">
        <v>1832.6</v>
      </c>
      <c r="L34" t="s">
        <v>18</v>
      </c>
    </row>
    <row r="35" spans="1:12" x14ac:dyDescent="0.3">
      <c r="A35">
        <v>4</v>
      </c>
      <c r="B35" t="s">
        <v>22</v>
      </c>
      <c r="C35" t="s">
        <v>23</v>
      </c>
      <c r="D35" t="s">
        <v>24</v>
      </c>
      <c r="E35" t="s">
        <v>25</v>
      </c>
      <c r="F35" t="s">
        <v>26</v>
      </c>
      <c r="G35" s="1">
        <v>45931</v>
      </c>
      <c r="H35">
        <v>284</v>
      </c>
      <c r="I35">
        <v>4</v>
      </c>
      <c r="J35">
        <v>0.99</v>
      </c>
      <c r="K35">
        <v>2578.8000000000002</v>
      </c>
      <c r="L35" t="s">
        <v>18</v>
      </c>
    </row>
    <row r="36" spans="1:12" x14ac:dyDescent="0.3">
      <c r="A36">
        <v>4</v>
      </c>
      <c r="B36" t="s">
        <v>22</v>
      </c>
      <c r="C36" t="s">
        <v>23</v>
      </c>
      <c r="D36" t="s">
        <v>24</v>
      </c>
      <c r="E36" t="s">
        <v>25</v>
      </c>
      <c r="F36" t="s">
        <v>26</v>
      </c>
      <c r="G36" s="1">
        <v>45962</v>
      </c>
      <c r="H36">
        <v>153</v>
      </c>
      <c r="I36">
        <v>2</v>
      </c>
      <c r="J36">
        <v>0.85</v>
      </c>
      <c r="K36">
        <v>1504.6</v>
      </c>
      <c r="L36" t="s">
        <v>18</v>
      </c>
    </row>
    <row r="37" spans="1:12" x14ac:dyDescent="0.3">
      <c r="A37">
        <v>4</v>
      </c>
      <c r="B37" t="s">
        <v>22</v>
      </c>
      <c r="C37" t="s">
        <v>23</v>
      </c>
      <c r="D37" t="s">
        <v>24</v>
      </c>
      <c r="E37" t="s">
        <v>25</v>
      </c>
      <c r="F37" t="s">
        <v>26</v>
      </c>
      <c r="G37" s="1">
        <v>45992</v>
      </c>
      <c r="H37">
        <v>266</v>
      </c>
      <c r="I37">
        <v>10</v>
      </c>
      <c r="J37">
        <v>0.96</v>
      </c>
      <c r="K37">
        <v>2431.1999999999998</v>
      </c>
      <c r="L37" t="s">
        <v>18</v>
      </c>
    </row>
    <row r="38" spans="1:12" x14ac:dyDescent="0.3">
      <c r="A38">
        <v>5</v>
      </c>
      <c r="B38" t="s">
        <v>27</v>
      </c>
      <c r="C38" t="s">
        <v>28</v>
      </c>
      <c r="D38" t="s">
        <v>14</v>
      </c>
      <c r="E38" t="s">
        <v>29</v>
      </c>
      <c r="F38" t="s">
        <v>26</v>
      </c>
      <c r="G38" s="1">
        <v>45658</v>
      </c>
      <c r="H38">
        <v>246</v>
      </c>
      <c r="I38">
        <v>9</v>
      </c>
      <c r="J38">
        <v>0.85</v>
      </c>
      <c r="K38">
        <v>1699</v>
      </c>
      <c r="L38" t="s">
        <v>17</v>
      </c>
    </row>
    <row r="39" spans="1:12" x14ac:dyDescent="0.3">
      <c r="A39">
        <v>5</v>
      </c>
      <c r="B39" t="s">
        <v>27</v>
      </c>
      <c r="C39" t="s">
        <v>28</v>
      </c>
      <c r="D39" t="s">
        <v>14</v>
      </c>
      <c r="E39" t="s">
        <v>29</v>
      </c>
      <c r="F39" t="s">
        <v>26</v>
      </c>
      <c r="G39" s="1">
        <v>45689</v>
      </c>
      <c r="H39">
        <v>299</v>
      </c>
      <c r="I39">
        <v>4</v>
      </c>
      <c r="J39">
        <v>0.96</v>
      </c>
      <c r="K39">
        <v>2043.5</v>
      </c>
      <c r="L39" t="s">
        <v>18</v>
      </c>
    </row>
    <row r="40" spans="1:12" x14ac:dyDescent="0.3">
      <c r="A40">
        <v>5</v>
      </c>
      <c r="B40" t="s">
        <v>27</v>
      </c>
      <c r="C40" t="s">
        <v>28</v>
      </c>
      <c r="D40" t="s">
        <v>14</v>
      </c>
      <c r="E40" t="s">
        <v>29</v>
      </c>
      <c r="F40" t="s">
        <v>26</v>
      </c>
      <c r="G40" s="1">
        <v>45717</v>
      </c>
      <c r="H40">
        <v>158</v>
      </c>
      <c r="I40">
        <v>3</v>
      </c>
      <c r="J40">
        <v>0.91</v>
      </c>
      <c r="K40">
        <v>1127</v>
      </c>
      <c r="L40" t="s">
        <v>18</v>
      </c>
    </row>
    <row r="41" spans="1:12" x14ac:dyDescent="0.3">
      <c r="A41">
        <v>5</v>
      </c>
      <c r="B41" t="s">
        <v>27</v>
      </c>
      <c r="C41" t="s">
        <v>28</v>
      </c>
      <c r="D41" t="s">
        <v>14</v>
      </c>
      <c r="E41" t="s">
        <v>29</v>
      </c>
      <c r="F41" t="s">
        <v>26</v>
      </c>
      <c r="G41" s="1">
        <v>45748</v>
      </c>
      <c r="H41">
        <v>376</v>
      </c>
      <c r="I41">
        <v>9</v>
      </c>
      <c r="J41">
        <v>0.93</v>
      </c>
      <c r="K41">
        <v>2544</v>
      </c>
      <c r="L41" t="s">
        <v>18</v>
      </c>
    </row>
    <row r="42" spans="1:12" x14ac:dyDescent="0.3">
      <c r="A42">
        <v>5</v>
      </c>
      <c r="B42" t="s">
        <v>27</v>
      </c>
      <c r="C42" t="s">
        <v>28</v>
      </c>
      <c r="D42" t="s">
        <v>14</v>
      </c>
      <c r="E42" t="s">
        <v>29</v>
      </c>
      <c r="F42" t="s">
        <v>26</v>
      </c>
      <c r="G42" s="1">
        <v>45778</v>
      </c>
      <c r="H42">
        <v>359</v>
      </c>
      <c r="I42">
        <v>7</v>
      </c>
      <c r="J42">
        <v>0.91</v>
      </c>
      <c r="K42">
        <v>2433.5</v>
      </c>
      <c r="L42" t="s">
        <v>18</v>
      </c>
    </row>
    <row r="43" spans="1:12" x14ac:dyDescent="0.3">
      <c r="A43">
        <v>5</v>
      </c>
      <c r="B43" t="s">
        <v>27</v>
      </c>
      <c r="C43" t="s">
        <v>28</v>
      </c>
      <c r="D43" t="s">
        <v>14</v>
      </c>
      <c r="E43" t="s">
        <v>29</v>
      </c>
      <c r="F43" t="s">
        <v>26</v>
      </c>
      <c r="G43" s="1">
        <v>45809</v>
      </c>
      <c r="H43">
        <v>345</v>
      </c>
      <c r="I43">
        <v>8</v>
      </c>
      <c r="J43">
        <v>0.87</v>
      </c>
      <c r="K43">
        <v>2342.5</v>
      </c>
      <c r="L43" t="s">
        <v>18</v>
      </c>
    </row>
    <row r="44" spans="1:12" x14ac:dyDescent="0.3">
      <c r="A44">
        <v>5</v>
      </c>
      <c r="B44" t="s">
        <v>27</v>
      </c>
      <c r="C44" t="s">
        <v>28</v>
      </c>
      <c r="D44" t="s">
        <v>14</v>
      </c>
      <c r="E44" t="s">
        <v>29</v>
      </c>
      <c r="F44" t="s">
        <v>26</v>
      </c>
      <c r="G44" s="1">
        <v>45839</v>
      </c>
      <c r="H44">
        <v>384</v>
      </c>
      <c r="I44">
        <v>7</v>
      </c>
      <c r="J44">
        <v>0.91</v>
      </c>
      <c r="K44">
        <v>2596</v>
      </c>
      <c r="L44" t="s">
        <v>18</v>
      </c>
    </row>
    <row r="45" spans="1:12" x14ac:dyDescent="0.3">
      <c r="A45">
        <v>5</v>
      </c>
      <c r="B45" t="s">
        <v>27</v>
      </c>
      <c r="C45" t="s">
        <v>28</v>
      </c>
      <c r="D45" t="s">
        <v>14</v>
      </c>
      <c r="E45" t="s">
        <v>29</v>
      </c>
      <c r="F45" t="s">
        <v>26</v>
      </c>
      <c r="G45" s="1">
        <v>45870</v>
      </c>
      <c r="H45">
        <v>257</v>
      </c>
      <c r="I45">
        <v>9</v>
      </c>
      <c r="J45">
        <v>0.92</v>
      </c>
      <c r="K45">
        <v>1770.5</v>
      </c>
      <c r="L45" t="s">
        <v>18</v>
      </c>
    </row>
    <row r="46" spans="1:12" x14ac:dyDescent="0.3">
      <c r="A46">
        <v>5</v>
      </c>
      <c r="B46" t="s">
        <v>27</v>
      </c>
      <c r="C46" t="s">
        <v>28</v>
      </c>
      <c r="D46" t="s">
        <v>14</v>
      </c>
      <c r="E46" t="s">
        <v>29</v>
      </c>
      <c r="F46" t="s">
        <v>26</v>
      </c>
      <c r="G46" s="1">
        <v>45901</v>
      </c>
      <c r="H46">
        <v>210</v>
      </c>
      <c r="I46">
        <v>6</v>
      </c>
      <c r="J46">
        <v>0.91</v>
      </c>
      <c r="K46">
        <v>1465</v>
      </c>
      <c r="L46" t="s">
        <v>18</v>
      </c>
    </row>
    <row r="47" spans="1:12" x14ac:dyDescent="0.3">
      <c r="A47">
        <v>5</v>
      </c>
      <c r="B47" t="s">
        <v>27</v>
      </c>
      <c r="C47" t="s">
        <v>28</v>
      </c>
      <c r="D47" t="s">
        <v>14</v>
      </c>
      <c r="E47" t="s">
        <v>29</v>
      </c>
      <c r="F47" t="s">
        <v>26</v>
      </c>
      <c r="G47" s="1">
        <v>45931</v>
      </c>
      <c r="H47">
        <v>338</v>
      </c>
      <c r="I47">
        <v>4</v>
      </c>
      <c r="J47">
        <v>0.94</v>
      </c>
      <c r="K47">
        <v>2297</v>
      </c>
      <c r="L47" t="s">
        <v>17</v>
      </c>
    </row>
    <row r="48" spans="1:12" x14ac:dyDescent="0.3">
      <c r="A48">
        <v>5</v>
      </c>
      <c r="B48" t="s">
        <v>27</v>
      </c>
      <c r="C48" t="s">
        <v>28</v>
      </c>
      <c r="D48" t="s">
        <v>14</v>
      </c>
      <c r="E48" t="s">
        <v>29</v>
      </c>
      <c r="F48" t="s">
        <v>26</v>
      </c>
      <c r="G48" s="1">
        <v>45962</v>
      </c>
      <c r="H48">
        <v>310</v>
      </c>
      <c r="I48">
        <v>10</v>
      </c>
      <c r="J48">
        <v>0.99</v>
      </c>
      <c r="K48">
        <v>2115</v>
      </c>
      <c r="L48" t="s">
        <v>18</v>
      </c>
    </row>
    <row r="49" spans="1:12" x14ac:dyDescent="0.3">
      <c r="A49">
        <v>5</v>
      </c>
      <c r="B49" t="s">
        <v>27</v>
      </c>
      <c r="C49" t="s">
        <v>28</v>
      </c>
      <c r="D49" t="s">
        <v>14</v>
      </c>
      <c r="E49" t="s">
        <v>29</v>
      </c>
      <c r="F49" t="s">
        <v>26</v>
      </c>
      <c r="G49" s="1">
        <v>45992</v>
      </c>
      <c r="H49">
        <v>273</v>
      </c>
      <c r="I49">
        <v>6</v>
      </c>
      <c r="J49">
        <v>0.94</v>
      </c>
      <c r="K49">
        <v>1874.5</v>
      </c>
      <c r="L49" t="s">
        <v>18</v>
      </c>
    </row>
    <row r="50" spans="1:12" x14ac:dyDescent="0.3">
      <c r="A50">
        <v>6</v>
      </c>
      <c r="B50" t="s">
        <v>30</v>
      </c>
      <c r="C50" t="s">
        <v>31</v>
      </c>
      <c r="D50" t="s">
        <v>32</v>
      </c>
      <c r="E50" t="s">
        <v>33</v>
      </c>
      <c r="F50" t="s">
        <v>34</v>
      </c>
      <c r="G50" s="1">
        <v>45658</v>
      </c>
      <c r="H50">
        <v>158</v>
      </c>
      <c r="I50">
        <v>5</v>
      </c>
      <c r="J50">
        <v>0.97</v>
      </c>
      <c r="K50">
        <v>2159</v>
      </c>
      <c r="L50" t="s">
        <v>18</v>
      </c>
    </row>
    <row r="51" spans="1:12" x14ac:dyDescent="0.3">
      <c r="A51">
        <v>6</v>
      </c>
      <c r="B51" t="s">
        <v>30</v>
      </c>
      <c r="C51" t="s">
        <v>31</v>
      </c>
      <c r="D51" t="s">
        <v>32</v>
      </c>
      <c r="E51" t="s">
        <v>33</v>
      </c>
      <c r="F51" t="s">
        <v>34</v>
      </c>
      <c r="G51" s="1">
        <v>45689</v>
      </c>
      <c r="H51">
        <v>299</v>
      </c>
      <c r="I51">
        <v>6</v>
      </c>
      <c r="J51">
        <v>0.87</v>
      </c>
      <c r="K51">
        <v>3639.5</v>
      </c>
      <c r="L51" t="s">
        <v>18</v>
      </c>
    </row>
    <row r="52" spans="1:12" x14ac:dyDescent="0.3">
      <c r="A52">
        <v>6</v>
      </c>
      <c r="B52" t="s">
        <v>30</v>
      </c>
      <c r="C52" t="s">
        <v>31</v>
      </c>
      <c r="D52" t="s">
        <v>32</v>
      </c>
      <c r="E52" t="s">
        <v>33</v>
      </c>
      <c r="F52" t="s">
        <v>34</v>
      </c>
      <c r="G52" s="1">
        <v>45717</v>
      </c>
      <c r="H52">
        <v>244</v>
      </c>
      <c r="I52">
        <v>9</v>
      </c>
      <c r="J52">
        <v>0.88</v>
      </c>
      <c r="K52">
        <v>3062</v>
      </c>
      <c r="L52" t="s">
        <v>18</v>
      </c>
    </row>
    <row r="53" spans="1:12" x14ac:dyDescent="0.3">
      <c r="A53">
        <v>6</v>
      </c>
      <c r="B53" t="s">
        <v>30</v>
      </c>
      <c r="C53" t="s">
        <v>31</v>
      </c>
      <c r="D53" t="s">
        <v>32</v>
      </c>
      <c r="E53" t="s">
        <v>33</v>
      </c>
      <c r="F53" t="s">
        <v>34</v>
      </c>
      <c r="G53" s="1">
        <v>45748</v>
      </c>
      <c r="H53">
        <v>249</v>
      </c>
      <c r="I53">
        <v>4</v>
      </c>
      <c r="J53">
        <v>0.95</v>
      </c>
      <c r="K53">
        <v>3114.5</v>
      </c>
      <c r="L53" t="s">
        <v>18</v>
      </c>
    </row>
    <row r="54" spans="1:12" x14ac:dyDescent="0.3">
      <c r="A54">
        <v>6</v>
      </c>
      <c r="B54" t="s">
        <v>30</v>
      </c>
      <c r="C54" t="s">
        <v>31</v>
      </c>
      <c r="D54" t="s">
        <v>32</v>
      </c>
      <c r="E54" t="s">
        <v>33</v>
      </c>
      <c r="F54" t="s">
        <v>34</v>
      </c>
      <c r="G54" s="1">
        <v>45778</v>
      </c>
      <c r="H54">
        <v>174</v>
      </c>
      <c r="I54">
        <v>10</v>
      </c>
      <c r="J54">
        <v>0.86</v>
      </c>
      <c r="K54">
        <v>2327</v>
      </c>
      <c r="L54" t="s">
        <v>18</v>
      </c>
    </row>
    <row r="55" spans="1:12" x14ac:dyDescent="0.3">
      <c r="A55">
        <v>6</v>
      </c>
      <c r="B55" t="s">
        <v>30</v>
      </c>
      <c r="C55" t="s">
        <v>31</v>
      </c>
      <c r="D55" t="s">
        <v>32</v>
      </c>
      <c r="E55" t="s">
        <v>33</v>
      </c>
      <c r="F55" t="s">
        <v>34</v>
      </c>
      <c r="G55" s="1">
        <v>45809</v>
      </c>
      <c r="H55">
        <v>376</v>
      </c>
      <c r="I55">
        <v>10</v>
      </c>
      <c r="J55">
        <v>0.93</v>
      </c>
      <c r="K55">
        <v>4448</v>
      </c>
      <c r="L55" t="s">
        <v>17</v>
      </c>
    </row>
    <row r="56" spans="1:12" x14ac:dyDescent="0.3">
      <c r="A56">
        <v>6</v>
      </c>
      <c r="B56" t="s">
        <v>30</v>
      </c>
      <c r="C56" t="s">
        <v>31</v>
      </c>
      <c r="D56" t="s">
        <v>32</v>
      </c>
      <c r="E56" t="s">
        <v>33</v>
      </c>
      <c r="F56" t="s">
        <v>34</v>
      </c>
      <c r="G56" s="1">
        <v>45839</v>
      </c>
      <c r="H56">
        <v>329</v>
      </c>
      <c r="I56">
        <v>9</v>
      </c>
      <c r="J56">
        <v>0.86</v>
      </c>
      <c r="K56">
        <v>3954.5</v>
      </c>
      <c r="L56" t="s">
        <v>18</v>
      </c>
    </row>
    <row r="57" spans="1:12" x14ac:dyDescent="0.3">
      <c r="A57">
        <v>6</v>
      </c>
      <c r="B57" t="s">
        <v>30</v>
      </c>
      <c r="C57" t="s">
        <v>31</v>
      </c>
      <c r="D57" t="s">
        <v>32</v>
      </c>
      <c r="E57" t="s">
        <v>33</v>
      </c>
      <c r="F57" t="s">
        <v>34</v>
      </c>
      <c r="G57" s="1">
        <v>45870</v>
      </c>
      <c r="H57">
        <v>388</v>
      </c>
      <c r="I57">
        <v>3</v>
      </c>
      <c r="J57">
        <v>0.93</v>
      </c>
      <c r="K57">
        <v>4574</v>
      </c>
      <c r="L57" t="s">
        <v>18</v>
      </c>
    </row>
    <row r="58" spans="1:12" x14ac:dyDescent="0.3">
      <c r="A58">
        <v>6</v>
      </c>
      <c r="B58" t="s">
        <v>30</v>
      </c>
      <c r="C58" t="s">
        <v>31</v>
      </c>
      <c r="D58" t="s">
        <v>32</v>
      </c>
      <c r="E58" t="s">
        <v>33</v>
      </c>
      <c r="F58" t="s">
        <v>34</v>
      </c>
      <c r="G58" s="1">
        <v>45901</v>
      </c>
      <c r="H58">
        <v>321</v>
      </c>
      <c r="I58">
        <v>9</v>
      </c>
      <c r="J58">
        <v>0.99</v>
      </c>
      <c r="K58">
        <v>3870.5</v>
      </c>
      <c r="L58" t="s">
        <v>17</v>
      </c>
    </row>
    <row r="59" spans="1:12" x14ac:dyDescent="0.3">
      <c r="A59">
        <v>6</v>
      </c>
      <c r="B59" t="s">
        <v>30</v>
      </c>
      <c r="C59" t="s">
        <v>31</v>
      </c>
      <c r="D59" t="s">
        <v>32</v>
      </c>
      <c r="E59" t="s">
        <v>33</v>
      </c>
      <c r="F59" t="s">
        <v>34</v>
      </c>
      <c r="G59" s="1">
        <v>45931</v>
      </c>
      <c r="H59">
        <v>366</v>
      </c>
      <c r="I59">
        <v>7</v>
      </c>
      <c r="J59">
        <v>0.9</v>
      </c>
      <c r="K59">
        <v>4343</v>
      </c>
      <c r="L59" t="s">
        <v>17</v>
      </c>
    </row>
    <row r="60" spans="1:12" x14ac:dyDescent="0.3">
      <c r="A60">
        <v>6</v>
      </c>
      <c r="B60" t="s">
        <v>30</v>
      </c>
      <c r="C60" t="s">
        <v>31</v>
      </c>
      <c r="D60" t="s">
        <v>32</v>
      </c>
      <c r="E60" t="s">
        <v>33</v>
      </c>
      <c r="F60" t="s">
        <v>34</v>
      </c>
      <c r="G60" s="1">
        <v>45962</v>
      </c>
      <c r="H60">
        <v>276</v>
      </c>
      <c r="I60">
        <v>10</v>
      </c>
      <c r="J60">
        <v>0.96</v>
      </c>
      <c r="K60">
        <v>3398</v>
      </c>
      <c r="L60" t="s">
        <v>18</v>
      </c>
    </row>
    <row r="61" spans="1:12" x14ac:dyDescent="0.3">
      <c r="A61">
        <v>6</v>
      </c>
      <c r="B61" t="s">
        <v>30</v>
      </c>
      <c r="C61" t="s">
        <v>31</v>
      </c>
      <c r="D61" t="s">
        <v>32</v>
      </c>
      <c r="E61" t="s">
        <v>33</v>
      </c>
      <c r="F61" t="s">
        <v>34</v>
      </c>
      <c r="G61" s="1">
        <v>45992</v>
      </c>
      <c r="H61">
        <v>348</v>
      </c>
      <c r="I61">
        <v>5</v>
      </c>
      <c r="J61">
        <v>0.97</v>
      </c>
      <c r="K61">
        <v>4154</v>
      </c>
      <c r="L61" t="s">
        <v>18</v>
      </c>
    </row>
    <row r="62" spans="1:12" x14ac:dyDescent="0.3">
      <c r="A62">
        <v>7</v>
      </c>
      <c r="B62" t="s">
        <v>35</v>
      </c>
      <c r="C62" t="s">
        <v>36</v>
      </c>
      <c r="D62" t="s">
        <v>24</v>
      </c>
      <c r="E62" t="s">
        <v>21</v>
      </c>
      <c r="F62" t="s">
        <v>16</v>
      </c>
      <c r="G62" s="1">
        <v>45658</v>
      </c>
      <c r="H62">
        <v>274</v>
      </c>
      <c r="I62">
        <v>5</v>
      </c>
      <c r="J62">
        <v>0.87</v>
      </c>
      <c r="K62">
        <v>2496.8000000000002</v>
      </c>
      <c r="L62" t="s">
        <v>18</v>
      </c>
    </row>
    <row r="63" spans="1:12" x14ac:dyDescent="0.3">
      <c r="A63">
        <v>7</v>
      </c>
      <c r="B63" t="s">
        <v>35</v>
      </c>
      <c r="C63" t="s">
        <v>36</v>
      </c>
      <c r="D63" t="s">
        <v>24</v>
      </c>
      <c r="E63" t="s">
        <v>21</v>
      </c>
      <c r="F63" t="s">
        <v>16</v>
      </c>
      <c r="G63" s="1">
        <v>45689</v>
      </c>
      <c r="H63">
        <v>201</v>
      </c>
      <c r="I63">
        <v>7</v>
      </c>
      <c r="J63">
        <v>0.87</v>
      </c>
      <c r="K63">
        <v>1898.2</v>
      </c>
      <c r="L63" t="s">
        <v>18</v>
      </c>
    </row>
    <row r="64" spans="1:12" x14ac:dyDescent="0.3">
      <c r="A64">
        <v>7</v>
      </c>
      <c r="B64" t="s">
        <v>35</v>
      </c>
      <c r="C64" t="s">
        <v>36</v>
      </c>
      <c r="D64" t="s">
        <v>24</v>
      </c>
      <c r="E64" t="s">
        <v>21</v>
      </c>
      <c r="F64" t="s">
        <v>16</v>
      </c>
      <c r="G64" s="1">
        <v>45717</v>
      </c>
      <c r="H64">
        <v>399</v>
      </c>
      <c r="I64">
        <v>5</v>
      </c>
      <c r="J64">
        <v>0.97</v>
      </c>
      <c r="K64">
        <v>3521.8</v>
      </c>
      <c r="L64" t="s">
        <v>17</v>
      </c>
    </row>
    <row r="65" spans="1:12" x14ac:dyDescent="0.3">
      <c r="A65">
        <v>7</v>
      </c>
      <c r="B65" t="s">
        <v>35</v>
      </c>
      <c r="C65" t="s">
        <v>36</v>
      </c>
      <c r="D65" t="s">
        <v>24</v>
      </c>
      <c r="E65" t="s">
        <v>21</v>
      </c>
      <c r="F65" t="s">
        <v>16</v>
      </c>
      <c r="G65" s="1">
        <v>45748</v>
      </c>
      <c r="H65">
        <v>299</v>
      </c>
      <c r="I65">
        <v>4</v>
      </c>
      <c r="J65">
        <v>0.97</v>
      </c>
      <c r="K65">
        <v>2701.8</v>
      </c>
      <c r="L65" t="s">
        <v>18</v>
      </c>
    </row>
    <row r="66" spans="1:12" x14ac:dyDescent="0.3">
      <c r="A66">
        <v>7</v>
      </c>
      <c r="B66" t="s">
        <v>35</v>
      </c>
      <c r="C66" t="s">
        <v>36</v>
      </c>
      <c r="D66" t="s">
        <v>24</v>
      </c>
      <c r="E66" t="s">
        <v>21</v>
      </c>
      <c r="F66" t="s">
        <v>16</v>
      </c>
      <c r="G66" s="1">
        <v>45778</v>
      </c>
      <c r="H66">
        <v>175</v>
      </c>
      <c r="I66">
        <v>2</v>
      </c>
      <c r="J66">
        <v>0.96</v>
      </c>
      <c r="K66">
        <v>1685</v>
      </c>
      <c r="L66" t="s">
        <v>17</v>
      </c>
    </row>
    <row r="67" spans="1:12" x14ac:dyDescent="0.3">
      <c r="A67">
        <v>7</v>
      </c>
      <c r="B67" t="s">
        <v>35</v>
      </c>
      <c r="C67" t="s">
        <v>36</v>
      </c>
      <c r="D67" t="s">
        <v>24</v>
      </c>
      <c r="E67" t="s">
        <v>21</v>
      </c>
      <c r="F67" t="s">
        <v>16</v>
      </c>
      <c r="G67" s="1">
        <v>45809</v>
      </c>
      <c r="H67">
        <v>379</v>
      </c>
      <c r="I67">
        <v>9</v>
      </c>
      <c r="J67">
        <v>0.9</v>
      </c>
      <c r="K67">
        <v>3357.8</v>
      </c>
      <c r="L67" t="s">
        <v>17</v>
      </c>
    </row>
    <row r="68" spans="1:12" x14ac:dyDescent="0.3">
      <c r="A68">
        <v>7</v>
      </c>
      <c r="B68" t="s">
        <v>35</v>
      </c>
      <c r="C68" t="s">
        <v>36</v>
      </c>
      <c r="D68" t="s">
        <v>24</v>
      </c>
      <c r="E68" t="s">
        <v>21</v>
      </c>
      <c r="F68" t="s">
        <v>16</v>
      </c>
      <c r="G68" s="1">
        <v>45839</v>
      </c>
      <c r="H68">
        <v>179</v>
      </c>
      <c r="I68">
        <v>9</v>
      </c>
      <c r="J68">
        <v>0.85</v>
      </c>
      <c r="K68">
        <v>1717.8</v>
      </c>
      <c r="L68" t="s">
        <v>17</v>
      </c>
    </row>
    <row r="69" spans="1:12" x14ac:dyDescent="0.3">
      <c r="A69">
        <v>7</v>
      </c>
      <c r="B69" t="s">
        <v>35</v>
      </c>
      <c r="C69" t="s">
        <v>36</v>
      </c>
      <c r="D69" t="s">
        <v>24</v>
      </c>
      <c r="E69" t="s">
        <v>21</v>
      </c>
      <c r="F69" t="s">
        <v>16</v>
      </c>
      <c r="G69" s="1">
        <v>45870</v>
      </c>
      <c r="H69">
        <v>372</v>
      </c>
      <c r="I69">
        <v>3</v>
      </c>
      <c r="J69">
        <v>0.93</v>
      </c>
      <c r="K69">
        <v>3300.4</v>
      </c>
      <c r="L69" t="s">
        <v>18</v>
      </c>
    </row>
    <row r="70" spans="1:12" x14ac:dyDescent="0.3">
      <c r="A70">
        <v>7</v>
      </c>
      <c r="B70" t="s">
        <v>35</v>
      </c>
      <c r="C70" t="s">
        <v>36</v>
      </c>
      <c r="D70" t="s">
        <v>24</v>
      </c>
      <c r="E70" t="s">
        <v>21</v>
      </c>
      <c r="F70" t="s">
        <v>16</v>
      </c>
      <c r="G70" s="1">
        <v>45901</v>
      </c>
      <c r="H70">
        <v>382</v>
      </c>
      <c r="I70">
        <v>8</v>
      </c>
      <c r="J70">
        <v>0.92</v>
      </c>
      <c r="K70">
        <v>3382.4</v>
      </c>
      <c r="L70" t="s">
        <v>18</v>
      </c>
    </row>
    <row r="71" spans="1:12" x14ac:dyDescent="0.3">
      <c r="A71">
        <v>7</v>
      </c>
      <c r="B71" t="s">
        <v>35</v>
      </c>
      <c r="C71" t="s">
        <v>36</v>
      </c>
      <c r="D71" t="s">
        <v>24</v>
      </c>
      <c r="E71" t="s">
        <v>21</v>
      </c>
      <c r="F71" t="s">
        <v>16</v>
      </c>
      <c r="G71" s="1">
        <v>45931</v>
      </c>
      <c r="H71">
        <v>287</v>
      </c>
      <c r="I71">
        <v>3</v>
      </c>
      <c r="J71">
        <v>0.92</v>
      </c>
      <c r="K71">
        <v>2603.4</v>
      </c>
      <c r="L71" t="s">
        <v>18</v>
      </c>
    </row>
    <row r="72" spans="1:12" x14ac:dyDescent="0.3">
      <c r="A72">
        <v>7</v>
      </c>
      <c r="B72" t="s">
        <v>35</v>
      </c>
      <c r="C72" t="s">
        <v>36</v>
      </c>
      <c r="D72" t="s">
        <v>24</v>
      </c>
      <c r="E72" t="s">
        <v>21</v>
      </c>
      <c r="F72" t="s">
        <v>16</v>
      </c>
      <c r="G72" s="1">
        <v>45962</v>
      </c>
      <c r="H72">
        <v>390</v>
      </c>
      <c r="I72">
        <v>4</v>
      </c>
      <c r="J72">
        <v>0.96</v>
      </c>
      <c r="K72">
        <v>3448</v>
      </c>
      <c r="L72" t="s">
        <v>17</v>
      </c>
    </row>
    <row r="73" spans="1:12" x14ac:dyDescent="0.3">
      <c r="A73">
        <v>7</v>
      </c>
      <c r="B73" t="s">
        <v>35</v>
      </c>
      <c r="C73" t="s">
        <v>36</v>
      </c>
      <c r="D73" t="s">
        <v>24</v>
      </c>
      <c r="E73" t="s">
        <v>21</v>
      </c>
      <c r="F73" t="s">
        <v>16</v>
      </c>
      <c r="G73" s="1">
        <v>45992</v>
      </c>
      <c r="H73">
        <v>257</v>
      </c>
      <c r="I73">
        <v>2</v>
      </c>
      <c r="J73">
        <v>0.96</v>
      </c>
      <c r="K73">
        <v>2357.4</v>
      </c>
      <c r="L73" t="s">
        <v>18</v>
      </c>
    </row>
    <row r="74" spans="1:12" x14ac:dyDescent="0.3">
      <c r="A74">
        <v>8</v>
      </c>
      <c r="B74" t="s">
        <v>37</v>
      </c>
      <c r="C74" t="s">
        <v>38</v>
      </c>
      <c r="D74" t="s">
        <v>32</v>
      </c>
      <c r="E74" t="s">
        <v>39</v>
      </c>
      <c r="F74" t="s">
        <v>16</v>
      </c>
      <c r="G74" s="1">
        <v>45658</v>
      </c>
      <c r="H74">
        <v>156</v>
      </c>
      <c r="I74">
        <v>7</v>
      </c>
      <c r="J74">
        <v>0.97</v>
      </c>
      <c r="K74">
        <v>2138</v>
      </c>
      <c r="L74" t="s">
        <v>18</v>
      </c>
    </row>
    <row r="75" spans="1:12" x14ac:dyDescent="0.3">
      <c r="A75">
        <v>8</v>
      </c>
      <c r="B75" t="s">
        <v>37</v>
      </c>
      <c r="C75" t="s">
        <v>38</v>
      </c>
      <c r="D75" t="s">
        <v>32</v>
      </c>
      <c r="E75" t="s">
        <v>39</v>
      </c>
      <c r="F75" t="s">
        <v>16</v>
      </c>
      <c r="G75" s="1">
        <v>45689</v>
      </c>
      <c r="H75">
        <v>375</v>
      </c>
      <c r="I75">
        <v>3</v>
      </c>
      <c r="J75">
        <v>0.85</v>
      </c>
      <c r="K75">
        <v>4437.5</v>
      </c>
      <c r="L75" t="s">
        <v>18</v>
      </c>
    </row>
    <row r="76" spans="1:12" x14ac:dyDescent="0.3">
      <c r="A76">
        <v>8</v>
      </c>
      <c r="B76" t="s">
        <v>37</v>
      </c>
      <c r="C76" t="s">
        <v>38</v>
      </c>
      <c r="D76" t="s">
        <v>32</v>
      </c>
      <c r="E76" t="s">
        <v>39</v>
      </c>
      <c r="F76" t="s">
        <v>16</v>
      </c>
      <c r="G76" s="1">
        <v>45717</v>
      </c>
      <c r="H76">
        <v>269</v>
      </c>
      <c r="I76">
        <v>5</v>
      </c>
      <c r="J76">
        <v>0.96</v>
      </c>
      <c r="K76">
        <v>3324.5</v>
      </c>
      <c r="L76" t="s">
        <v>18</v>
      </c>
    </row>
    <row r="77" spans="1:12" x14ac:dyDescent="0.3">
      <c r="A77">
        <v>8</v>
      </c>
      <c r="B77" t="s">
        <v>37</v>
      </c>
      <c r="C77" t="s">
        <v>38</v>
      </c>
      <c r="D77" t="s">
        <v>32</v>
      </c>
      <c r="E77" t="s">
        <v>39</v>
      </c>
      <c r="F77" t="s">
        <v>16</v>
      </c>
      <c r="G77" s="1">
        <v>45748</v>
      </c>
      <c r="H77">
        <v>323</v>
      </c>
      <c r="I77">
        <v>9</v>
      </c>
      <c r="J77">
        <v>0.93</v>
      </c>
      <c r="K77">
        <v>3891.5</v>
      </c>
      <c r="L77" t="s">
        <v>18</v>
      </c>
    </row>
    <row r="78" spans="1:12" x14ac:dyDescent="0.3">
      <c r="A78">
        <v>8</v>
      </c>
      <c r="B78" t="s">
        <v>37</v>
      </c>
      <c r="C78" t="s">
        <v>38</v>
      </c>
      <c r="D78" t="s">
        <v>32</v>
      </c>
      <c r="E78" t="s">
        <v>39</v>
      </c>
      <c r="F78" t="s">
        <v>16</v>
      </c>
      <c r="G78" s="1">
        <v>45778</v>
      </c>
      <c r="H78">
        <v>264</v>
      </c>
      <c r="I78">
        <v>5</v>
      </c>
      <c r="J78">
        <v>0.93</v>
      </c>
      <c r="K78">
        <v>3272</v>
      </c>
      <c r="L78" t="s">
        <v>18</v>
      </c>
    </row>
    <row r="79" spans="1:12" x14ac:dyDescent="0.3">
      <c r="A79">
        <v>8</v>
      </c>
      <c r="B79" t="s">
        <v>37</v>
      </c>
      <c r="C79" t="s">
        <v>38</v>
      </c>
      <c r="D79" t="s">
        <v>32</v>
      </c>
      <c r="E79" t="s">
        <v>39</v>
      </c>
      <c r="F79" t="s">
        <v>16</v>
      </c>
      <c r="G79" s="1">
        <v>45809</v>
      </c>
      <c r="H79">
        <v>366</v>
      </c>
      <c r="I79">
        <v>9</v>
      </c>
      <c r="J79">
        <v>0.96</v>
      </c>
      <c r="K79">
        <v>4343</v>
      </c>
      <c r="L79" t="s">
        <v>18</v>
      </c>
    </row>
    <row r="80" spans="1:12" x14ac:dyDescent="0.3">
      <c r="A80">
        <v>8</v>
      </c>
      <c r="B80" t="s">
        <v>37</v>
      </c>
      <c r="C80" t="s">
        <v>38</v>
      </c>
      <c r="D80" t="s">
        <v>32</v>
      </c>
      <c r="E80" t="s">
        <v>39</v>
      </c>
      <c r="F80" t="s">
        <v>16</v>
      </c>
      <c r="G80" s="1">
        <v>45839</v>
      </c>
      <c r="H80">
        <v>276</v>
      </c>
      <c r="I80">
        <v>7</v>
      </c>
      <c r="J80">
        <v>0.92</v>
      </c>
      <c r="K80">
        <v>3398</v>
      </c>
      <c r="L80" t="s">
        <v>18</v>
      </c>
    </row>
    <row r="81" spans="1:12" x14ac:dyDescent="0.3">
      <c r="A81">
        <v>8</v>
      </c>
      <c r="B81" t="s">
        <v>37</v>
      </c>
      <c r="C81" t="s">
        <v>38</v>
      </c>
      <c r="D81" t="s">
        <v>32</v>
      </c>
      <c r="E81" t="s">
        <v>39</v>
      </c>
      <c r="F81" t="s">
        <v>16</v>
      </c>
      <c r="G81" s="1">
        <v>45870</v>
      </c>
      <c r="H81">
        <v>359</v>
      </c>
      <c r="I81">
        <v>9</v>
      </c>
      <c r="J81">
        <v>0.93</v>
      </c>
      <c r="K81">
        <v>4269.5</v>
      </c>
      <c r="L81" t="s">
        <v>18</v>
      </c>
    </row>
    <row r="82" spans="1:12" x14ac:dyDescent="0.3">
      <c r="A82">
        <v>8</v>
      </c>
      <c r="B82" t="s">
        <v>37</v>
      </c>
      <c r="C82" t="s">
        <v>38</v>
      </c>
      <c r="D82" t="s">
        <v>32</v>
      </c>
      <c r="E82" t="s">
        <v>39</v>
      </c>
      <c r="F82" t="s">
        <v>16</v>
      </c>
      <c r="G82" s="1">
        <v>45901</v>
      </c>
      <c r="H82">
        <v>311</v>
      </c>
      <c r="I82">
        <v>9</v>
      </c>
      <c r="J82">
        <v>0.92</v>
      </c>
      <c r="K82">
        <v>3765.5</v>
      </c>
      <c r="L82" t="s">
        <v>18</v>
      </c>
    </row>
    <row r="83" spans="1:12" x14ac:dyDescent="0.3">
      <c r="A83">
        <v>8</v>
      </c>
      <c r="B83" t="s">
        <v>37</v>
      </c>
      <c r="C83" t="s">
        <v>38</v>
      </c>
      <c r="D83" t="s">
        <v>32</v>
      </c>
      <c r="E83" t="s">
        <v>39</v>
      </c>
      <c r="F83" t="s">
        <v>16</v>
      </c>
      <c r="G83" s="1">
        <v>45931</v>
      </c>
      <c r="H83">
        <v>216</v>
      </c>
      <c r="I83">
        <v>5</v>
      </c>
      <c r="J83">
        <v>0.86</v>
      </c>
      <c r="K83">
        <v>2768</v>
      </c>
      <c r="L83" t="s">
        <v>18</v>
      </c>
    </row>
    <row r="84" spans="1:12" x14ac:dyDescent="0.3">
      <c r="A84">
        <v>8</v>
      </c>
      <c r="B84" t="s">
        <v>37</v>
      </c>
      <c r="C84" t="s">
        <v>38</v>
      </c>
      <c r="D84" t="s">
        <v>32</v>
      </c>
      <c r="E84" t="s">
        <v>39</v>
      </c>
      <c r="F84" t="s">
        <v>16</v>
      </c>
      <c r="G84" s="1">
        <v>45962</v>
      </c>
      <c r="H84">
        <v>156</v>
      </c>
      <c r="I84">
        <v>4</v>
      </c>
      <c r="J84">
        <v>0.89</v>
      </c>
      <c r="K84">
        <v>2138</v>
      </c>
      <c r="L84" t="s">
        <v>18</v>
      </c>
    </row>
    <row r="85" spans="1:12" x14ac:dyDescent="0.3">
      <c r="A85">
        <v>8</v>
      </c>
      <c r="B85" t="s">
        <v>37</v>
      </c>
      <c r="C85" t="s">
        <v>38</v>
      </c>
      <c r="D85" t="s">
        <v>32</v>
      </c>
      <c r="E85" t="s">
        <v>39</v>
      </c>
      <c r="F85" t="s">
        <v>16</v>
      </c>
      <c r="G85" s="1">
        <v>45992</v>
      </c>
      <c r="H85">
        <v>312</v>
      </c>
      <c r="I85">
        <v>7</v>
      </c>
      <c r="J85">
        <v>0.91</v>
      </c>
      <c r="K85">
        <v>3776</v>
      </c>
      <c r="L85" t="s">
        <v>18</v>
      </c>
    </row>
    <row r="86" spans="1:12" x14ac:dyDescent="0.3">
      <c r="A86">
        <v>9</v>
      </c>
      <c r="B86" t="s">
        <v>40</v>
      </c>
      <c r="C86" t="s">
        <v>41</v>
      </c>
      <c r="D86" t="s">
        <v>42</v>
      </c>
      <c r="E86" t="s">
        <v>25</v>
      </c>
      <c r="F86" t="s">
        <v>26</v>
      </c>
      <c r="G86" s="1">
        <v>45658</v>
      </c>
      <c r="H86">
        <v>154</v>
      </c>
      <c r="I86">
        <v>3</v>
      </c>
      <c r="J86">
        <v>0.99</v>
      </c>
      <c r="K86">
        <v>814.2</v>
      </c>
      <c r="L86" t="s">
        <v>18</v>
      </c>
    </row>
    <row r="87" spans="1:12" x14ac:dyDescent="0.3">
      <c r="A87">
        <v>9</v>
      </c>
      <c r="B87" t="s">
        <v>40</v>
      </c>
      <c r="C87" t="s">
        <v>41</v>
      </c>
      <c r="D87" t="s">
        <v>42</v>
      </c>
      <c r="E87" t="s">
        <v>25</v>
      </c>
      <c r="F87" t="s">
        <v>26</v>
      </c>
      <c r="G87" s="1">
        <v>45689</v>
      </c>
      <c r="H87">
        <v>340</v>
      </c>
      <c r="I87">
        <v>6</v>
      </c>
      <c r="J87">
        <v>0.94</v>
      </c>
      <c r="K87">
        <v>1707</v>
      </c>
      <c r="L87" t="s">
        <v>18</v>
      </c>
    </row>
    <row r="88" spans="1:12" x14ac:dyDescent="0.3">
      <c r="A88">
        <v>9</v>
      </c>
      <c r="B88" t="s">
        <v>40</v>
      </c>
      <c r="C88" t="s">
        <v>41</v>
      </c>
      <c r="D88" t="s">
        <v>42</v>
      </c>
      <c r="E88" t="s">
        <v>25</v>
      </c>
      <c r="F88" t="s">
        <v>26</v>
      </c>
      <c r="G88" s="1">
        <v>45717</v>
      </c>
      <c r="H88">
        <v>346</v>
      </c>
      <c r="I88">
        <v>10</v>
      </c>
      <c r="J88">
        <v>0.97</v>
      </c>
      <c r="K88">
        <v>1735.8</v>
      </c>
      <c r="L88" t="s">
        <v>18</v>
      </c>
    </row>
    <row r="89" spans="1:12" x14ac:dyDescent="0.3">
      <c r="A89">
        <v>9</v>
      </c>
      <c r="B89" t="s">
        <v>40</v>
      </c>
      <c r="C89" t="s">
        <v>41</v>
      </c>
      <c r="D89" t="s">
        <v>42</v>
      </c>
      <c r="E89" t="s">
        <v>25</v>
      </c>
      <c r="F89" t="s">
        <v>26</v>
      </c>
      <c r="G89" s="1">
        <v>45748</v>
      </c>
      <c r="H89">
        <v>179</v>
      </c>
      <c r="I89">
        <v>9</v>
      </c>
      <c r="J89">
        <v>0.89</v>
      </c>
      <c r="K89">
        <v>934.2</v>
      </c>
      <c r="L89" t="s">
        <v>18</v>
      </c>
    </row>
    <row r="90" spans="1:12" x14ac:dyDescent="0.3">
      <c r="A90">
        <v>9</v>
      </c>
      <c r="B90" t="s">
        <v>40</v>
      </c>
      <c r="C90" t="s">
        <v>41</v>
      </c>
      <c r="D90" t="s">
        <v>42</v>
      </c>
      <c r="E90" t="s">
        <v>25</v>
      </c>
      <c r="F90" t="s">
        <v>26</v>
      </c>
      <c r="G90" s="1">
        <v>45778</v>
      </c>
      <c r="H90">
        <v>365</v>
      </c>
      <c r="I90">
        <v>6</v>
      </c>
      <c r="J90">
        <v>0.9</v>
      </c>
      <c r="K90">
        <v>1827</v>
      </c>
      <c r="L90" t="s">
        <v>18</v>
      </c>
    </row>
    <row r="91" spans="1:12" x14ac:dyDescent="0.3">
      <c r="A91">
        <v>9</v>
      </c>
      <c r="B91" t="s">
        <v>40</v>
      </c>
      <c r="C91" t="s">
        <v>41</v>
      </c>
      <c r="D91" t="s">
        <v>42</v>
      </c>
      <c r="E91" t="s">
        <v>25</v>
      </c>
      <c r="F91" t="s">
        <v>26</v>
      </c>
      <c r="G91" s="1">
        <v>45809</v>
      </c>
      <c r="H91">
        <v>328</v>
      </c>
      <c r="I91">
        <v>2</v>
      </c>
      <c r="J91">
        <v>0.99</v>
      </c>
      <c r="K91">
        <v>1649.4</v>
      </c>
      <c r="L91" t="s">
        <v>18</v>
      </c>
    </row>
    <row r="92" spans="1:12" x14ac:dyDescent="0.3">
      <c r="A92">
        <v>9</v>
      </c>
      <c r="B92" t="s">
        <v>40</v>
      </c>
      <c r="C92" t="s">
        <v>41</v>
      </c>
      <c r="D92" t="s">
        <v>42</v>
      </c>
      <c r="E92" t="s">
        <v>25</v>
      </c>
      <c r="F92" t="s">
        <v>26</v>
      </c>
      <c r="G92" s="1">
        <v>45839</v>
      </c>
      <c r="H92">
        <v>207</v>
      </c>
      <c r="I92">
        <v>4</v>
      </c>
      <c r="J92">
        <v>0.99</v>
      </c>
      <c r="K92">
        <v>1068.5999999999999</v>
      </c>
      <c r="L92" t="s">
        <v>17</v>
      </c>
    </row>
    <row r="93" spans="1:12" x14ac:dyDescent="0.3">
      <c r="A93">
        <v>9</v>
      </c>
      <c r="B93" t="s">
        <v>40</v>
      </c>
      <c r="C93" t="s">
        <v>41</v>
      </c>
      <c r="D93" t="s">
        <v>42</v>
      </c>
      <c r="E93" t="s">
        <v>25</v>
      </c>
      <c r="F93" t="s">
        <v>26</v>
      </c>
      <c r="G93" s="1">
        <v>45870</v>
      </c>
      <c r="H93">
        <v>271</v>
      </c>
      <c r="I93">
        <v>4</v>
      </c>
      <c r="J93">
        <v>0.87</v>
      </c>
      <c r="K93">
        <v>1375.8</v>
      </c>
      <c r="L93" t="s">
        <v>18</v>
      </c>
    </row>
    <row r="94" spans="1:12" x14ac:dyDescent="0.3">
      <c r="A94">
        <v>9</v>
      </c>
      <c r="B94" t="s">
        <v>40</v>
      </c>
      <c r="C94" t="s">
        <v>41</v>
      </c>
      <c r="D94" t="s">
        <v>42</v>
      </c>
      <c r="E94" t="s">
        <v>25</v>
      </c>
      <c r="F94" t="s">
        <v>26</v>
      </c>
      <c r="G94" s="1">
        <v>45901</v>
      </c>
      <c r="H94">
        <v>234</v>
      </c>
      <c r="I94">
        <v>2</v>
      </c>
      <c r="J94">
        <v>0.99</v>
      </c>
      <c r="K94">
        <v>1198.2</v>
      </c>
      <c r="L94" t="s">
        <v>18</v>
      </c>
    </row>
    <row r="95" spans="1:12" x14ac:dyDescent="0.3">
      <c r="A95">
        <v>9</v>
      </c>
      <c r="B95" t="s">
        <v>40</v>
      </c>
      <c r="C95" t="s">
        <v>41</v>
      </c>
      <c r="D95" t="s">
        <v>42</v>
      </c>
      <c r="E95" t="s">
        <v>25</v>
      </c>
      <c r="F95" t="s">
        <v>26</v>
      </c>
      <c r="G95" s="1">
        <v>45931</v>
      </c>
      <c r="H95">
        <v>371</v>
      </c>
      <c r="I95">
        <v>9</v>
      </c>
      <c r="J95">
        <v>0.86</v>
      </c>
      <c r="K95">
        <v>1855.8</v>
      </c>
      <c r="L95" t="s">
        <v>18</v>
      </c>
    </row>
    <row r="96" spans="1:12" x14ac:dyDescent="0.3">
      <c r="A96">
        <v>9</v>
      </c>
      <c r="B96" t="s">
        <v>40</v>
      </c>
      <c r="C96" t="s">
        <v>41</v>
      </c>
      <c r="D96" t="s">
        <v>42</v>
      </c>
      <c r="E96" t="s">
        <v>25</v>
      </c>
      <c r="F96" t="s">
        <v>26</v>
      </c>
      <c r="G96" s="1">
        <v>45962</v>
      </c>
      <c r="H96">
        <v>399</v>
      </c>
      <c r="I96">
        <v>10</v>
      </c>
      <c r="J96">
        <v>0.85</v>
      </c>
      <c r="K96">
        <v>1990.2</v>
      </c>
      <c r="L96" t="s">
        <v>17</v>
      </c>
    </row>
    <row r="97" spans="1:12" x14ac:dyDescent="0.3">
      <c r="A97">
        <v>9</v>
      </c>
      <c r="B97" t="s">
        <v>40</v>
      </c>
      <c r="C97" t="s">
        <v>41</v>
      </c>
      <c r="D97" t="s">
        <v>42</v>
      </c>
      <c r="E97" t="s">
        <v>25</v>
      </c>
      <c r="F97" t="s">
        <v>26</v>
      </c>
      <c r="G97" s="1">
        <v>45992</v>
      </c>
      <c r="H97">
        <v>277</v>
      </c>
      <c r="I97">
        <v>2</v>
      </c>
      <c r="J97">
        <v>0.87</v>
      </c>
      <c r="K97">
        <v>1404.6</v>
      </c>
      <c r="L97" t="s">
        <v>18</v>
      </c>
    </row>
    <row r="98" spans="1:12" x14ac:dyDescent="0.3">
      <c r="A98">
        <v>10</v>
      </c>
      <c r="B98" t="s">
        <v>43</v>
      </c>
      <c r="C98" t="s">
        <v>44</v>
      </c>
      <c r="D98" t="s">
        <v>14</v>
      </c>
      <c r="E98" t="s">
        <v>29</v>
      </c>
      <c r="F98" t="s">
        <v>26</v>
      </c>
      <c r="G98" s="1">
        <v>45658</v>
      </c>
      <c r="H98">
        <v>225</v>
      </c>
      <c r="I98">
        <v>5</v>
      </c>
      <c r="J98">
        <v>0.86</v>
      </c>
      <c r="K98">
        <v>1562.5</v>
      </c>
      <c r="L98" t="s">
        <v>18</v>
      </c>
    </row>
    <row r="99" spans="1:12" x14ac:dyDescent="0.3">
      <c r="A99">
        <v>10</v>
      </c>
      <c r="B99" t="s">
        <v>43</v>
      </c>
      <c r="C99" t="s">
        <v>44</v>
      </c>
      <c r="D99" t="s">
        <v>14</v>
      </c>
      <c r="E99" t="s">
        <v>29</v>
      </c>
      <c r="F99" t="s">
        <v>26</v>
      </c>
      <c r="G99" s="1">
        <v>45689</v>
      </c>
      <c r="H99">
        <v>224</v>
      </c>
      <c r="I99">
        <v>2</v>
      </c>
      <c r="J99">
        <v>0.91</v>
      </c>
      <c r="K99">
        <v>1556</v>
      </c>
      <c r="L99" t="s">
        <v>18</v>
      </c>
    </row>
    <row r="100" spans="1:12" x14ac:dyDescent="0.3">
      <c r="A100">
        <v>10</v>
      </c>
      <c r="B100" t="s">
        <v>43</v>
      </c>
      <c r="C100" t="s">
        <v>44</v>
      </c>
      <c r="D100" t="s">
        <v>14</v>
      </c>
      <c r="E100" t="s">
        <v>29</v>
      </c>
      <c r="F100" t="s">
        <v>26</v>
      </c>
      <c r="G100" s="1">
        <v>45717</v>
      </c>
      <c r="H100">
        <v>263</v>
      </c>
      <c r="I100">
        <v>4</v>
      </c>
      <c r="J100">
        <v>0.94</v>
      </c>
      <c r="K100">
        <v>1809.5</v>
      </c>
      <c r="L100" t="s">
        <v>17</v>
      </c>
    </row>
    <row r="101" spans="1:12" x14ac:dyDescent="0.3">
      <c r="A101">
        <v>10</v>
      </c>
      <c r="B101" t="s">
        <v>43</v>
      </c>
      <c r="C101" t="s">
        <v>44</v>
      </c>
      <c r="D101" t="s">
        <v>14</v>
      </c>
      <c r="E101" t="s">
        <v>29</v>
      </c>
      <c r="F101" t="s">
        <v>26</v>
      </c>
      <c r="G101" s="1">
        <v>45748</v>
      </c>
      <c r="H101">
        <v>333</v>
      </c>
      <c r="I101">
        <v>3</v>
      </c>
      <c r="J101">
        <v>0.89</v>
      </c>
      <c r="K101">
        <v>2264.5</v>
      </c>
      <c r="L101" t="s">
        <v>18</v>
      </c>
    </row>
    <row r="102" spans="1:12" x14ac:dyDescent="0.3">
      <c r="A102">
        <v>10</v>
      </c>
      <c r="B102" t="s">
        <v>43</v>
      </c>
      <c r="C102" t="s">
        <v>44</v>
      </c>
      <c r="D102" t="s">
        <v>14</v>
      </c>
      <c r="E102" t="s">
        <v>29</v>
      </c>
      <c r="F102" t="s">
        <v>26</v>
      </c>
      <c r="G102" s="1">
        <v>45778</v>
      </c>
      <c r="H102">
        <v>344</v>
      </c>
      <c r="I102">
        <v>5</v>
      </c>
      <c r="J102">
        <v>0.88</v>
      </c>
      <c r="K102">
        <v>2336</v>
      </c>
      <c r="L102" t="s">
        <v>18</v>
      </c>
    </row>
    <row r="103" spans="1:12" x14ac:dyDescent="0.3">
      <c r="A103">
        <v>10</v>
      </c>
      <c r="B103" t="s">
        <v>43</v>
      </c>
      <c r="C103" t="s">
        <v>44</v>
      </c>
      <c r="D103" t="s">
        <v>14</v>
      </c>
      <c r="E103" t="s">
        <v>29</v>
      </c>
      <c r="F103" t="s">
        <v>26</v>
      </c>
      <c r="G103" s="1">
        <v>45809</v>
      </c>
      <c r="H103">
        <v>199</v>
      </c>
      <c r="I103">
        <v>6</v>
      </c>
      <c r="J103">
        <v>0.87</v>
      </c>
      <c r="K103">
        <v>1393.5</v>
      </c>
      <c r="L103" t="s">
        <v>18</v>
      </c>
    </row>
    <row r="104" spans="1:12" x14ac:dyDescent="0.3">
      <c r="A104">
        <v>10</v>
      </c>
      <c r="B104" t="s">
        <v>43</v>
      </c>
      <c r="C104" t="s">
        <v>44</v>
      </c>
      <c r="D104" t="s">
        <v>14</v>
      </c>
      <c r="E104" t="s">
        <v>29</v>
      </c>
      <c r="F104" t="s">
        <v>26</v>
      </c>
      <c r="G104" s="1">
        <v>45839</v>
      </c>
      <c r="H104">
        <v>294</v>
      </c>
      <c r="I104">
        <v>9</v>
      </c>
      <c r="J104">
        <v>0.99</v>
      </c>
      <c r="K104">
        <v>2011</v>
      </c>
      <c r="L104" t="s">
        <v>18</v>
      </c>
    </row>
    <row r="105" spans="1:12" x14ac:dyDescent="0.3">
      <c r="A105">
        <v>10</v>
      </c>
      <c r="B105" t="s">
        <v>43</v>
      </c>
      <c r="C105" t="s">
        <v>44</v>
      </c>
      <c r="D105" t="s">
        <v>14</v>
      </c>
      <c r="E105" t="s">
        <v>29</v>
      </c>
      <c r="F105" t="s">
        <v>26</v>
      </c>
      <c r="G105" s="1">
        <v>45870</v>
      </c>
      <c r="H105">
        <v>234</v>
      </c>
      <c r="I105">
        <v>8</v>
      </c>
      <c r="J105">
        <v>0.94</v>
      </c>
      <c r="K105">
        <v>1621</v>
      </c>
      <c r="L105" t="s">
        <v>18</v>
      </c>
    </row>
    <row r="106" spans="1:12" x14ac:dyDescent="0.3">
      <c r="A106">
        <v>10</v>
      </c>
      <c r="B106" t="s">
        <v>43</v>
      </c>
      <c r="C106" t="s">
        <v>44</v>
      </c>
      <c r="D106" t="s">
        <v>14</v>
      </c>
      <c r="E106" t="s">
        <v>29</v>
      </c>
      <c r="F106" t="s">
        <v>26</v>
      </c>
      <c r="G106" s="1">
        <v>45901</v>
      </c>
      <c r="H106">
        <v>271</v>
      </c>
      <c r="I106">
        <v>3</v>
      </c>
      <c r="J106">
        <v>0.88</v>
      </c>
      <c r="K106">
        <v>1861.5</v>
      </c>
      <c r="L106" t="s">
        <v>18</v>
      </c>
    </row>
    <row r="107" spans="1:12" x14ac:dyDescent="0.3">
      <c r="A107">
        <v>10</v>
      </c>
      <c r="B107" t="s">
        <v>43</v>
      </c>
      <c r="C107" t="s">
        <v>44</v>
      </c>
      <c r="D107" t="s">
        <v>14</v>
      </c>
      <c r="E107" t="s">
        <v>29</v>
      </c>
      <c r="F107" t="s">
        <v>26</v>
      </c>
      <c r="G107" s="1">
        <v>45931</v>
      </c>
      <c r="H107">
        <v>266</v>
      </c>
      <c r="I107">
        <v>9</v>
      </c>
      <c r="J107">
        <v>0.91</v>
      </c>
      <c r="K107">
        <v>1829</v>
      </c>
      <c r="L107" t="s">
        <v>18</v>
      </c>
    </row>
    <row r="108" spans="1:12" x14ac:dyDescent="0.3">
      <c r="A108">
        <v>10</v>
      </c>
      <c r="B108" t="s">
        <v>43</v>
      </c>
      <c r="C108" t="s">
        <v>44</v>
      </c>
      <c r="D108" t="s">
        <v>14</v>
      </c>
      <c r="E108" t="s">
        <v>29</v>
      </c>
      <c r="F108" t="s">
        <v>26</v>
      </c>
      <c r="G108" s="1">
        <v>45962</v>
      </c>
      <c r="H108">
        <v>353</v>
      </c>
      <c r="I108">
        <v>7</v>
      </c>
      <c r="J108">
        <v>0.92</v>
      </c>
      <c r="K108">
        <v>2394.5</v>
      </c>
      <c r="L108" t="s">
        <v>18</v>
      </c>
    </row>
    <row r="109" spans="1:12" x14ac:dyDescent="0.3">
      <c r="A109">
        <v>10</v>
      </c>
      <c r="B109" t="s">
        <v>43</v>
      </c>
      <c r="C109" t="s">
        <v>44</v>
      </c>
      <c r="D109" t="s">
        <v>14</v>
      </c>
      <c r="E109" t="s">
        <v>29</v>
      </c>
      <c r="F109" t="s">
        <v>26</v>
      </c>
      <c r="G109" s="1">
        <v>45992</v>
      </c>
      <c r="H109">
        <v>255</v>
      </c>
      <c r="I109">
        <v>9</v>
      </c>
      <c r="J109">
        <v>0.91</v>
      </c>
      <c r="K109">
        <v>1757.5</v>
      </c>
      <c r="L109" t="s">
        <v>18</v>
      </c>
    </row>
    <row r="110" spans="1:12" x14ac:dyDescent="0.3">
      <c r="A110">
        <v>11</v>
      </c>
      <c r="B110" t="s">
        <v>45</v>
      </c>
      <c r="C110" t="s">
        <v>46</v>
      </c>
      <c r="D110" t="s">
        <v>24</v>
      </c>
      <c r="E110" t="s">
        <v>47</v>
      </c>
      <c r="F110" t="s">
        <v>26</v>
      </c>
      <c r="G110" s="1">
        <v>45658</v>
      </c>
      <c r="H110">
        <v>185</v>
      </c>
      <c r="I110">
        <v>2</v>
      </c>
      <c r="J110">
        <v>0.88</v>
      </c>
      <c r="K110">
        <v>1767</v>
      </c>
      <c r="L110" t="s">
        <v>18</v>
      </c>
    </row>
    <row r="111" spans="1:12" x14ac:dyDescent="0.3">
      <c r="A111">
        <v>11</v>
      </c>
      <c r="B111" t="s">
        <v>45</v>
      </c>
      <c r="C111" t="s">
        <v>46</v>
      </c>
      <c r="D111" t="s">
        <v>24</v>
      </c>
      <c r="E111" t="s">
        <v>47</v>
      </c>
      <c r="F111" t="s">
        <v>26</v>
      </c>
      <c r="G111" s="1">
        <v>45689</v>
      </c>
      <c r="H111">
        <v>191</v>
      </c>
      <c r="I111">
        <v>6</v>
      </c>
      <c r="J111">
        <v>0.88</v>
      </c>
      <c r="K111">
        <v>1816.2</v>
      </c>
      <c r="L111" t="s">
        <v>17</v>
      </c>
    </row>
    <row r="112" spans="1:12" x14ac:dyDescent="0.3">
      <c r="A112">
        <v>11</v>
      </c>
      <c r="B112" t="s">
        <v>45</v>
      </c>
      <c r="C112" t="s">
        <v>46</v>
      </c>
      <c r="D112" t="s">
        <v>24</v>
      </c>
      <c r="E112" t="s">
        <v>47</v>
      </c>
      <c r="F112" t="s">
        <v>26</v>
      </c>
      <c r="G112" s="1">
        <v>45717</v>
      </c>
      <c r="H112">
        <v>369</v>
      </c>
      <c r="I112">
        <v>6</v>
      </c>
      <c r="J112">
        <v>0.89</v>
      </c>
      <c r="K112">
        <v>3275.8</v>
      </c>
      <c r="L112" t="s">
        <v>18</v>
      </c>
    </row>
    <row r="113" spans="1:12" x14ac:dyDescent="0.3">
      <c r="A113">
        <v>11</v>
      </c>
      <c r="B113" t="s">
        <v>45</v>
      </c>
      <c r="C113" t="s">
        <v>46</v>
      </c>
      <c r="D113" t="s">
        <v>24</v>
      </c>
      <c r="E113" t="s">
        <v>47</v>
      </c>
      <c r="F113" t="s">
        <v>26</v>
      </c>
      <c r="G113" s="1">
        <v>45748</v>
      </c>
      <c r="H113">
        <v>306</v>
      </c>
      <c r="I113">
        <v>8</v>
      </c>
      <c r="J113">
        <v>0.85</v>
      </c>
      <c r="K113">
        <v>2759.2</v>
      </c>
      <c r="L113" t="s">
        <v>17</v>
      </c>
    </row>
    <row r="114" spans="1:12" x14ac:dyDescent="0.3">
      <c r="A114">
        <v>11</v>
      </c>
      <c r="B114" t="s">
        <v>45</v>
      </c>
      <c r="C114" t="s">
        <v>46</v>
      </c>
      <c r="D114" t="s">
        <v>24</v>
      </c>
      <c r="E114" t="s">
        <v>47</v>
      </c>
      <c r="F114" t="s">
        <v>26</v>
      </c>
      <c r="G114" s="1">
        <v>45778</v>
      </c>
      <c r="H114">
        <v>241</v>
      </c>
      <c r="I114">
        <v>10</v>
      </c>
      <c r="J114">
        <v>0.89</v>
      </c>
      <c r="K114">
        <v>2226.1999999999998</v>
      </c>
      <c r="L114" t="s">
        <v>18</v>
      </c>
    </row>
    <row r="115" spans="1:12" x14ac:dyDescent="0.3">
      <c r="A115">
        <v>11</v>
      </c>
      <c r="B115" t="s">
        <v>45</v>
      </c>
      <c r="C115" t="s">
        <v>46</v>
      </c>
      <c r="D115" t="s">
        <v>24</v>
      </c>
      <c r="E115" t="s">
        <v>47</v>
      </c>
      <c r="F115" t="s">
        <v>26</v>
      </c>
      <c r="G115" s="1">
        <v>45809</v>
      </c>
      <c r="H115">
        <v>153</v>
      </c>
      <c r="I115">
        <v>9</v>
      </c>
      <c r="J115">
        <v>0.89</v>
      </c>
      <c r="K115">
        <v>1504.6</v>
      </c>
      <c r="L115" t="s">
        <v>18</v>
      </c>
    </row>
    <row r="116" spans="1:12" x14ac:dyDescent="0.3">
      <c r="A116">
        <v>11</v>
      </c>
      <c r="B116" t="s">
        <v>45</v>
      </c>
      <c r="C116" t="s">
        <v>46</v>
      </c>
      <c r="D116" t="s">
        <v>24</v>
      </c>
      <c r="E116" t="s">
        <v>47</v>
      </c>
      <c r="F116" t="s">
        <v>26</v>
      </c>
      <c r="G116" s="1">
        <v>45839</v>
      </c>
      <c r="H116">
        <v>164</v>
      </c>
      <c r="I116">
        <v>8</v>
      </c>
      <c r="J116">
        <v>0.98</v>
      </c>
      <c r="K116">
        <v>1594.8</v>
      </c>
      <c r="L116" t="s">
        <v>18</v>
      </c>
    </row>
    <row r="117" spans="1:12" x14ac:dyDescent="0.3">
      <c r="A117">
        <v>11</v>
      </c>
      <c r="B117" t="s">
        <v>45</v>
      </c>
      <c r="C117" t="s">
        <v>46</v>
      </c>
      <c r="D117" t="s">
        <v>24</v>
      </c>
      <c r="E117" t="s">
        <v>47</v>
      </c>
      <c r="F117" t="s">
        <v>26</v>
      </c>
      <c r="G117" s="1">
        <v>45870</v>
      </c>
      <c r="H117">
        <v>397</v>
      </c>
      <c r="I117">
        <v>7</v>
      </c>
      <c r="J117">
        <v>0.99</v>
      </c>
      <c r="K117">
        <v>3505.4</v>
      </c>
      <c r="L117" t="s">
        <v>17</v>
      </c>
    </row>
    <row r="118" spans="1:12" x14ac:dyDescent="0.3">
      <c r="A118">
        <v>11</v>
      </c>
      <c r="B118" t="s">
        <v>45</v>
      </c>
      <c r="C118" t="s">
        <v>46</v>
      </c>
      <c r="D118" t="s">
        <v>24</v>
      </c>
      <c r="E118" t="s">
        <v>47</v>
      </c>
      <c r="F118" t="s">
        <v>26</v>
      </c>
      <c r="G118" s="1">
        <v>45901</v>
      </c>
      <c r="H118">
        <v>156</v>
      </c>
      <c r="I118">
        <v>6</v>
      </c>
      <c r="J118">
        <v>0.86</v>
      </c>
      <c r="K118">
        <v>1529.2</v>
      </c>
      <c r="L118" t="s">
        <v>17</v>
      </c>
    </row>
    <row r="119" spans="1:12" x14ac:dyDescent="0.3">
      <c r="A119">
        <v>11</v>
      </c>
      <c r="B119" t="s">
        <v>45</v>
      </c>
      <c r="C119" t="s">
        <v>46</v>
      </c>
      <c r="D119" t="s">
        <v>24</v>
      </c>
      <c r="E119" t="s">
        <v>47</v>
      </c>
      <c r="F119" t="s">
        <v>26</v>
      </c>
      <c r="G119" s="1">
        <v>45931</v>
      </c>
      <c r="H119">
        <v>389</v>
      </c>
      <c r="I119">
        <v>7</v>
      </c>
      <c r="J119">
        <v>0.98</v>
      </c>
      <c r="K119">
        <v>3439.8</v>
      </c>
      <c r="L119" t="s">
        <v>18</v>
      </c>
    </row>
    <row r="120" spans="1:12" x14ac:dyDescent="0.3">
      <c r="A120">
        <v>11</v>
      </c>
      <c r="B120" t="s">
        <v>45</v>
      </c>
      <c r="C120" t="s">
        <v>46</v>
      </c>
      <c r="D120" t="s">
        <v>24</v>
      </c>
      <c r="E120" t="s">
        <v>47</v>
      </c>
      <c r="F120" t="s">
        <v>26</v>
      </c>
      <c r="G120" s="1">
        <v>45962</v>
      </c>
      <c r="H120">
        <v>326</v>
      </c>
      <c r="I120">
        <v>7</v>
      </c>
      <c r="J120">
        <v>0.99</v>
      </c>
      <c r="K120">
        <v>2923.2</v>
      </c>
      <c r="L120" t="s">
        <v>18</v>
      </c>
    </row>
    <row r="121" spans="1:12" x14ac:dyDescent="0.3">
      <c r="A121">
        <v>11</v>
      </c>
      <c r="B121" t="s">
        <v>45</v>
      </c>
      <c r="C121" t="s">
        <v>46</v>
      </c>
      <c r="D121" t="s">
        <v>24</v>
      </c>
      <c r="E121" t="s">
        <v>47</v>
      </c>
      <c r="F121" t="s">
        <v>26</v>
      </c>
      <c r="G121" s="1">
        <v>45992</v>
      </c>
      <c r="H121">
        <v>179</v>
      </c>
      <c r="I121">
        <v>9</v>
      </c>
      <c r="J121">
        <v>0.88</v>
      </c>
      <c r="K121">
        <v>1717.8</v>
      </c>
      <c r="L121" t="s">
        <v>18</v>
      </c>
    </row>
    <row r="122" spans="1:12" x14ac:dyDescent="0.3">
      <c r="A122">
        <v>12</v>
      </c>
      <c r="B122" t="s">
        <v>48</v>
      </c>
      <c r="C122" t="s">
        <v>49</v>
      </c>
      <c r="D122" t="s">
        <v>32</v>
      </c>
      <c r="E122" t="s">
        <v>50</v>
      </c>
      <c r="F122" t="s">
        <v>51</v>
      </c>
      <c r="G122" s="1">
        <v>45658</v>
      </c>
      <c r="H122">
        <v>224</v>
      </c>
      <c r="I122">
        <v>8</v>
      </c>
      <c r="J122">
        <v>0.86</v>
      </c>
      <c r="K122">
        <v>2852</v>
      </c>
      <c r="L122" t="s">
        <v>17</v>
      </c>
    </row>
    <row r="123" spans="1:12" x14ac:dyDescent="0.3">
      <c r="A123">
        <v>12</v>
      </c>
      <c r="B123" t="s">
        <v>48</v>
      </c>
      <c r="C123" t="s">
        <v>49</v>
      </c>
      <c r="D123" t="s">
        <v>32</v>
      </c>
      <c r="E123" t="s">
        <v>50</v>
      </c>
      <c r="F123" t="s">
        <v>51</v>
      </c>
      <c r="G123" s="1">
        <v>45689</v>
      </c>
      <c r="H123">
        <v>258</v>
      </c>
      <c r="I123">
        <v>9</v>
      </c>
      <c r="J123">
        <v>0.89</v>
      </c>
      <c r="K123">
        <v>3209</v>
      </c>
      <c r="L123" t="s">
        <v>17</v>
      </c>
    </row>
    <row r="124" spans="1:12" x14ac:dyDescent="0.3">
      <c r="A124">
        <v>12</v>
      </c>
      <c r="B124" t="s">
        <v>48</v>
      </c>
      <c r="C124" t="s">
        <v>49</v>
      </c>
      <c r="D124" t="s">
        <v>32</v>
      </c>
      <c r="E124" t="s">
        <v>50</v>
      </c>
      <c r="F124" t="s">
        <v>51</v>
      </c>
      <c r="G124" s="1">
        <v>45717</v>
      </c>
      <c r="H124">
        <v>386</v>
      </c>
      <c r="I124">
        <v>5</v>
      </c>
      <c r="J124">
        <v>0.92</v>
      </c>
      <c r="K124">
        <v>4553</v>
      </c>
      <c r="L124" t="s">
        <v>17</v>
      </c>
    </row>
    <row r="125" spans="1:12" x14ac:dyDescent="0.3">
      <c r="A125">
        <v>12</v>
      </c>
      <c r="B125" t="s">
        <v>48</v>
      </c>
      <c r="C125" t="s">
        <v>49</v>
      </c>
      <c r="D125" t="s">
        <v>32</v>
      </c>
      <c r="E125" t="s">
        <v>50</v>
      </c>
      <c r="F125" t="s">
        <v>51</v>
      </c>
      <c r="G125" s="1">
        <v>45748</v>
      </c>
      <c r="H125">
        <v>367</v>
      </c>
      <c r="I125">
        <v>10</v>
      </c>
      <c r="J125">
        <v>0.85</v>
      </c>
      <c r="K125">
        <v>4353.5</v>
      </c>
      <c r="L125" t="s">
        <v>18</v>
      </c>
    </row>
    <row r="126" spans="1:12" x14ac:dyDescent="0.3">
      <c r="A126">
        <v>12</v>
      </c>
      <c r="B126" t="s">
        <v>48</v>
      </c>
      <c r="C126" t="s">
        <v>49</v>
      </c>
      <c r="D126" t="s">
        <v>32</v>
      </c>
      <c r="E126" t="s">
        <v>50</v>
      </c>
      <c r="F126" t="s">
        <v>51</v>
      </c>
      <c r="G126" s="1">
        <v>45778</v>
      </c>
      <c r="H126">
        <v>157</v>
      </c>
      <c r="I126">
        <v>6</v>
      </c>
      <c r="J126">
        <v>0.97</v>
      </c>
      <c r="K126">
        <v>2148.5</v>
      </c>
      <c r="L126" t="s">
        <v>18</v>
      </c>
    </row>
    <row r="127" spans="1:12" x14ac:dyDescent="0.3">
      <c r="A127">
        <v>12</v>
      </c>
      <c r="B127" t="s">
        <v>48</v>
      </c>
      <c r="C127" t="s">
        <v>49</v>
      </c>
      <c r="D127" t="s">
        <v>32</v>
      </c>
      <c r="E127" t="s">
        <v>50</v>
      </c>
      <c r="F127" t="s">
        <v>51</v>
      </c>
      <c r="G127" s="1">
        <v>45809</v>
      </c>
      <c r="H127">
        <v>164</v>
      </c>
      <c r="I127">
        <v>3</v>
      </c>
      <c r="J127">
        <v>0.98</v>
      </c>
      <c r="K127">
        <v>2222</v>
      </c>
      <c r="L127" t="s">
        <v>18</v>
      </c>
    </row>
    <row r="128" spans="1:12" x14ac:dyDescent="0.3">
      <c r="A128">
        <v>12</v>
      </c>
      <c r="B128" t="s">
        <v>48</v>
      </c>
      <c r="C128" t="s">
        <v>49</v>
      </c>
      <c r="D128" t="s">
        <v>32</v>
      </c>
      <c r="E128" t="s">
        <v>50</v>
      </c>
      <c r="F128" t="s">
        <v>51</v>
      </c>
      <c r="G128" s="1">
        <v>45839</v>
      </c>
      <c r="H128">
        <v>188</v>
      </c>
      <c r="I128">
        <v>5</v>
      </c>
      <c r="J128">
        <v>0.87</v>
      </c>
      <c r="K128">
        <v>2474</v>
      </c>
      <c r="L128" t="s">
        <v>18</v>
      </c>
    </row>
    <row r="129" spans="1:12" x14ac:dyDescent="0.3">
      <c r="A129">
        <v>12</v>
      </c>
      <c r="B129" t="s">
        <v>48</v>
      </c>
      <c r="C129" t="s">
        <v>49</v>
      </c>
      <c r="D129" t="s">
        <v>32</v>
      </c>
      <c r="E129" t="s">
        <v>50</v>
      </c>
      <c r="F129" t="s">
        <v>51</v>
      </c>
      <c r="G129" s="1">
        <v>45870</v>
      </c>
      <c r="H129">
        <v>387</v>
      </c>
      <c r="I129">
        <v>10</v>
      </c>
      <c r="J129">
        <v>0.86</v>
      </c>
      <c r="K129">
        <v>4563.5</v>
      </c>
      <c r="L129" t="s">
        <v>18</v>
      </c>
    </row>
    <row r="130" spans="1:12" x14ac:dyDescent="0.3">
      <c r="A130">
        <v>12</v>
      </c>
      <c r="B130" t="s">
        <v>48</v>
      </c>
      <c r="C130" t="s">
        <v>49</v>
      </c>
      <c r="D130" t="s">
        <v>32</v>
      </c>
      <c r="E130" t="s">
        <v>50</v>
      </c>
      <c r="F130" t="s">
        <v>51</v>
      </c>
      <c r="G130" s="1">
        <v>45901</v>
      </c>
      <c r="H130">
        <v>380</v>
      </c>
      <c r="I130">
        <v>6</v>
      </c>
      <c r="J130">
        <v>0.87</v>
      </c>
      <c r="K130">
        <v>4490</v>
      </c>
      <c r="L130" t="s">
        <v>18</v>
      </c>
    </row>
    <row r="131" spans="1:12" x14ac:dyDescent="0.3">
      <c r="A131">
        <v>12</v>
      </c>
      <c r="B131" t="s">
        <v>48</v>
      </c>
      <c r="C131" t="s">
        <v>49</v>
      </c>
      <c r="D131" t="s">
        <v>32</v>
      </c>
      <c r="E131" t="s">
        <v>50</v>
      </c>
      <c r="F131" t="s">
        <v>51</v>
      </c>
      <c r="G131" s="1">
        <v>45931</v>
      </c>
      <c r="H131">
        <v>312</v>
      </c>
      <c r="I131">
        <v>4</v>
      </c>
      <c r="J131">
        <v>0.93</v>
      </c>
      <c r="K131">
        <v>3776</v>
      </c>
      <c r="L131" t="s">
        <v>18</v>
      </c>
    </row>
    <row r="132" spans="1:12" x14ac:dyDescent="0.3">
      <c r="A132">
        <v>12</v>
      </c>
      <c r="B132" t="s">
        <v>48</v>
      </c>
      <c r="C132" t="s">
        <v>49</v>
      </c>
      <c r="D132" t="s">
        <v>32</v>
      </c>
      <c r="E132" t="s">
        <v>50</v>
      </c>
      <c r="F132" t="s">
        <v>51</v>
      </c>
      <c r="G132" s="1">
        <v>45962</v>
      </c>
      <c r="H132">
        <v>396</v>
      </c>
      <c r="I132">
        <v>6</v>
      </c>
      <c r="J132">
        <v>0.98</v>
      </c>
      <c r="K132">
        <v>4658</v>
      </c>
      <c r="L132" t="s">
        <v>18</v>
      </c>
    </row>
    <row r="133" spans="1:12" x14ac:dyDescent="0.3">
      <c r="A133">
        <v>12</v>
      </c>
      <c r="B133" t="s">
        <v>48</v>
      </c>
      <c r="C133" t="s">
        <v>49</v>
      </c>
      <c r="D133" t="s">
        <v>32</v>
      </c>
      <c r="E133" t="s">
        <v>50</v>
      </c>
      <c r="F133" t="s">
        <v>51</v>
      </c>
      <c r="G133" s="1">
        <v>45992</v>
      </c>
      <c r="H133">
        <v>301</v>
      </c>
      <c r="I133">
        <v>10</v>
      </c>
      <c r="J133">
        <v>0.92</v>
      </c>
      <c r="K133">
        <v>3660.5</v>
      </c>
      <c r="L133" t="s">
        <v>17</v>
      </c>
    </row>
    <row r="134" spans="1:12" x14ac:dyDescent="0.3">
      <c r="A134">
        <v>13</v>
      </c>
      <c r="B134" t="s">
        <v>52</v>
      </c>
      <c r="C134" t="s">
        <v>53</v>
      </c>
      <c r="D134" t="s">
        <v>42</v>
      </c>
      <c r="E134" t="s">
        <v>54</v>
      </c>
      <c r="F134" t="s">
        <v>51</v>
      </c>
      <c r="G134" s="1">
        <v>45658</v>
      </c>
      <c r="H134">
        <v>180</v>
      </c>
      <c r="I134">
        <v>5</v>
      </c>
      <c r="J134">
        <v>0.88</v>
      </c>
      <c r="K134">
        <v>939</v>
      </c>
      <c r="L134" t="s">
        <v>18</v>
      </c>
    </row>
    <row r="135" spans="1:12" x14ac:dyDescent="0.3">
      <c r="A135">
        <v>13</v>
      </c>
      <c r="B135" t="s">
        <v>52</v>
      </c>
      <c r="C135" t="s">
        <v>53</v>
      </c>
      <c r="D135" t="s">
        <v>42</v>
      </c>
      <c r="E135" t="s">
        <v>54</v>
      </c>
      <c r="F135" t="s">
        <v>51</v>
      </c>
      <c r="G135" s="1">
        <v>45689</v>
      </c>
      <c r="H135">
        <v>155</v>
      </c>
      <c r="I135">
        <v>10</v>
      </c>
      <c r="J135">
        <v>0.91</v>
      </c>
      <c r="K135">
        <v>819</v>
      </c>
      <c r="L135" t="s">
        <v>18</v>
      </c>
    </row>
    <row r="136" spans="1:12" x14ac:dyDescent="0.3">
      <c r="A136">
        <v>13</v>
      </c>
      <c r="B136" t="s">
        <v>52</v>
      </c>
      <c r="C136" t="s">
        <v>53</v>
      </c>
      <c r="D136" t="s">
        <v>42</v>
      </c>
      <c r="E136" t="s">
        <v>54</v>
      </c>
      <c r="F136" t="s">
        <v>51</v>
      </c>
      <c r="G136" s="1">
        <v>45717</v>
      </c>
      <c r="H136">
        <v>168</v>
      </c>
      <c r="I136">
        <v>10</v>
      </c>
      <c r="J136">
        <v>0.99</v>
      </c>
      <c r="K136">
        <v>881.4</v>
      </c>
      <c r="L136" t="s">
        <v>17</v>
      </c>
    </row>
    <row r="137" spans="1:12" x14ac:dyDescent="0.3">
      <c r="A137">
        <v>13</v>
      </c>
      <c r="B137" t="s">
        <v>52</v>
      </c>
      <c r="C137" t="s">
        <v>53</v>
      </c>
      <c r="D137" t="s">
        <v>42</v>
      </c>
      <c r="E137" t="s">
        <v>54</v>
      </c>
      <c r="F137" t="s">
        <v>51</v>
      </c>
      <c r="G137" s="1">
        <v>45748</v>
      </c>
      <c r="H137">
        <v>378</v>
      </c>
      <c r="I137">
        <v>4</v>
      </c>
      <c r="J137">
        <v>0.93</v>
      </c>
      <c r="K137">
        <v>1889.4</v>
      </c>
      <c r="L137" t="s">
        <v>18</v>
      </c>
    </row>
    <row r="138" spans="1:12" x14ac:dyDescent="0.3">
      <c r="A138">
        <v>13</v>
      </c>
      <c r="B138" t="s">
        <v>52</v>
      </c>
      <c r="C138" t="s">
        <v>53</v>
      </c>
      <c r="D138" t="s">
        <v>42</v>
      </c>
      <c r="E138" t="s">
        <v>54</v>
      </c>
      <c r="F138" t="s">
        <v>51</v>
      </c>
      <c r="G138" s="1">
        <v>45778</v>
      </c>
      <c r="H138">
        <v>174</v>
      </c>
      <c r="I138">
        <v>6</v>
      </c>
      <c r="J138">
        <v>0.98</v>
      </c>
      <c r="K138">
        <v>910.2</v>
      </c>
      <c r="L138" t="s">
        <v>18</v>
      </c>
    </row>
    <row r="139" spans="1:12" x14ac:dyDescent="0.3">
      <c r="A139">
        <v>13</v>
      </c>
      <c r="B139" t="s">
        <v>52</v>
      </c>
      <c r="C139" t="s">
        <v>53</v>
      </c>
      <c r="D139" t="s">
        <v>42</v>
      </c>
      <c r="E139" t="s">
        <v>54</v>
      </c>
      <c r="F139" t="s">
        <v>51</v>
      </c>
      <c r="G139" s="1">
        <v>45809</v>
      </c>
      <c r="H139">
        <v>347</v>
      </c>
      <c r="I139">
        <v>5</v>
      </c>
      <c r="J139">
        <v>0.86</v>
      </c>
      <c r="K139">
        <v>1740.6</v>
      </c>
      <c r="L139" t="s">
        <v>18</v>
      </c>
    </row>
    <row r="140" spans="1:12" x14ac:dyDescent="0.3">
      <c r="A140">
        <v>13</v>
      </c>
      <c r="B140" t="s">
        <v>52</v>
      </c>
      <c r="C140" t="s">
        <v>53</v>
      </c>
      <c r="D140" t="s">
        <v>42</v>
      </c>
      <c r="E140" t="s">
        <v>54</v>
      </c>
      <c r="F140" t="s">
        <v>51</v>
      </c>
      <c r="G140" s="1">
        <v>45839</v>
      </c>
      <c r="H140">
        <v>307</v>
      </c>
      <c r="I140">
        <v>3</v>
      </c>
      <c r="J140">
        <v>0.97</v>
      </c>
      <c r="K140">
        <v>1548.6</v>
      </c>
      <c r="L140" t="s">
        <v>18</v>
      </c>
    </row>
    <row r="141" spans="1:12" x14ac:dyDescent="0.3">
      <c r="A141">
        <v>13</v>
      </c>
      <c r="B141" t="s">
        <v>52</v>
      </c>
      <c r="C141" t="s">
        <v>53</v>
      </c>
      <c r="D141" t="s">
        <v>42</v>
      </c>
      <c r="E141" t="s">
        <v>54</v>
      </c>
      <c r="F141" t="s">
        <v>51</v>
      </c>
      <c r="G141" s="1">
        <v>45870</v>
      </c>
      <c r="H141">
        <v>247</v>
      </c>
      <c r="I141">
        <v>6</v>
      </c>
      <c r="J141">
        <v>0.98</v>
      </c>
      <c r="K141">
        <v>1260.5999999999999</v>
      </c>
      <c r="L141" t="s">
        <v>18</v>
      </c>
    </row>
    <row r="142" spans="1:12" x14ac:dyDescent="0.3">
      <c r="A142">
        <v>13</v>
      </c>
      <c r="B142" t="s">
        <v>52</v>
      </c>
      <c r="C142" t="s">
        <v>53</v>
      </c>
      <c r="D142" t="s">
        <v>42</v>
      </c>
      <c r="E142" t="s">
        <v>54</v>
      </c>
      <c r="F142" t="s">
        <v>51</v>
      </c>
      <c r="G142" s="1">
        <v>45901</v>
      </c>
      <c r="H142">
        <v>173</v>
      </c>
      <c r="I142">
        <v>8</v>
      </c>
      <c r="J142">
        <v>0.96</v>
      </c>
      <c r="K142">
        <v>905.4</v>
      </c>
      <c r="L142" t="s">
        <v>18</v>
      </c>
    </row>
    <row r="143" spans="1:12" x14ac:dyDescent="0.3">
      <c r="A143">
        <v>13</v>
      </c>
      <c r="B143" t="s">
        <v>52</v>
      </c>
      <c r="C143" t="s">
        <v>53</v>
      </c>
      <c r="D143" t="s">
        <v>42</v>
      </c>
      <c r="E143" t="s">
        <v>54</v>
      </c>
      <c r="F143" t="s">
        <v>51</v>
      </c>
      <c r="G143" s="1">
        <v>45931</v>
      </c>
      <c r="H143">
        <v>377</v>
      </c>
      <c r="I143">
        <v>8</v>
      </c>
      <c r="J143">
        <v>0.92</v>
      </c>
      <c r="K143">
        <v>1884.6</v>
      </c>
      <c r="L143" t="s">
        <v>18</v>
      </c>
    </row>
    <row r="144" spans="1:12" x14ac:dyDescent="0.3">
      <c r="A144">
        <v>13</v>
      </c>
      <c r="B144" t="s">
        <v>52</v>
      </c>
      <c r="C144" t="s">
        <v>53</v>
      </c>
      <c r="D144" t="s">
        <v>42</v>
      </c>
      <c r="E144" t="s">
        <v>54</v>
      </c>
      <c r="F144" t="s">
        <v>51</v>
      </c>
      <c r="G144" s="1">
        <v>45962</v>
      </c>
      <c r="H144">
        <v>331</v>
      </c>
      <c r="I144">
        <v>2</v>
      </c>
      <c r="J144">
        <v>0.95</v>
      </c>
      <c r="K144">
        <v>1663.8</v>
      </c>
      <c r="L144" t="s">
        <v>18</v>
      </c>
    </row>
    <row r="145" spans="1:12" x14ac:dyDescent="0.3">
      <c r="A145">
        <v>13</v>
      </c>
      <c r="B145" t="s">
        <v>52</v>
      </c>
      <c r="C145" t="s">
        <v>53</v>
      </c>
      <c r="D145" t="s">
        <v>42</v>
      </c>
      <c r="E145" t="s">
        <v>54</v>
      </c>
      <c r="F145" t="s">
        <v>51</v>
      </c>
      <c r="G145" s="1">
        <v>45992</v>
      </c>
      <c r="H145">
        <v>332</v>
      </c>
      <c r="I145">
        <v>6</v>
      </c>
      <c r="J145">
        <v>0.98</v>
      </c>
      <c r="K145">
        <v>1668.6</v>
      </c>
      <c r="L145" t="s">
        <v>18</v>
      </c>
    </row>
    <row r="146" spans="1:12" x14ac:dyDescent="0.3">
      <c r="A146">
        <v>14</v>
      </c>
      <c r="B146" t="s">
        <v>55</v>
      </c>
      <c r="C146" t="s">
        <v>56</v>
      </c>
      <c r="D146" t="s">
        <v>14</v>
      </c>
      <c r="E146" t="s">
        <v>57</v>
      </c>
      <c r="F146" t="s">
        <v>51</v>
      </c>
      <c r="G146" s="1">
        <v>45658</v>
      </c>
      <c r="H146">
        <v>354</v>
      </c>
      <c r="I146">
        <v>8</v>
      </c>
      <c r="J146">
        <v>0.99</v>
      </c>
      <c r="K146">
        <v>2401</v>
      </c>
      <c r="L146" t="s">
        <v>18</v>
      </c>
    </row>
    <row r="147" spans="1:12" x14ac:dyDescent="0.3">
      <c r="A147">
        <v>14</v>
      </c>
      <c r="B147" t="s">
        <v>55</v>
      </c>
      <c r="C147" t="s">
        <v>56</v>
      </c>
      <c r="D147" t="s">
        <v>14</v>
      </c>
      <c r="E147" t="s">
        <v>57</v>
      </c>
      <c r="F147" t="s">
        <v>51</v>
      </c>
      <c r="G147" s="1">
        <v>45689</v>
      </c>
      <c r="H147">
        <v>261</v>
      </c>
      <c r="I147">
        <v>8</v>
      </c>
      <c r="J147">
        <v>0.85</v>
      </c>
      <c r="K147">
        <v>1796.5</v>
      </c>
      <c r="L147" t="s">
        <v>18</v>
      </c>
    </row>
    <row r="148" spans="1:12" x14ac:dyDescent="0.3">
      <c r="A148">
        <v>14</v>
      </c>
      <c r="B148" t="s">
        <v>55</v>
      </c>
      <c r="C148" t="s">
        <v>56</v>
      </c>
      <c r="D148" t="s">
        <v>14</v>
      </c>
      <c r="E148" t="s">
        <v>57</v>
      </c>
      <c r="F148" t="s">
        <v>51</v>
      </c>
      <c r="G148" s="1">
        <v>45717</v>
      </c>
      <c r="H148">
        <v>390</v>
      </c>
      <c r="I148">
        <v>2</v>
      </c>
      <c r="J148">
        <v>0.9</v>
      </c>
      <c r="K148">
        <v>2635</v>
      </c>
      <c r="L148" t="s">
        <v>17</v>
      </c>
    </row>
    <row r="149" spans="1:12" x14ac:dyDescent="0.3">
      <c r="A149">
        <v>14</v>
      </c>
      <c r="B149" t="s">
        <v>55</v>
      </c>
      <c r="C149" t="s">
        <v>56</v>
      </c>
      <c r="D149" t="s">
        <v>14</v>
      </c>
      <c r="E149" t="s">
        <v>57</v>
      </c>
      <c r="F149" t="s">
        <v>51</v>
      </c>
      <c r="G149" s="1">
        <v>45748</v>
      </c>
      <c r="H149">
        <v>287</v>
      </c>
      <c r="I149">
        <v>3</v>
      </c>
      <c r="J149">
        <v>0.96</v>
      </c>
      <c r="K149">
        <v>1965.5</v>
      </c>
      <c r="L149" t="s">
        <v>18</v>
      </c>
    </row>
    <row r="150" spans="1:12" x14ac:dyDescent="0.3">
      <c r="A150">
        <v>14</v>
      </c>
      <c r="B150" t="s">
        <v>55</v>
      </c>
      <c r="C150" t="s">
        <v>56</v>
      </c>
      <c r="D150" t="s">
        <v>14</v>
      </c>
      <c r="E150" t="s">
        <v>57</v>
      </c>
      <c r="F150" t="s">
        <v>51</v>
      </c>
      <c r="G150" s="1">
        <v>45778</v>
      </c>
      <c r="H150">
        <v>238</v>
      </c>
      <c r="I150">
        <v>5</v>
      </c>
      <c r="J150">
        <v>0.99</v>
      </c>
      <c r="K150">
        <v>1647</v>
      </c>
      <c r="L150" t="s">
        <v>18</v>
      </c>
    </row>
    <row r="151" spans="1:12" x14ac:dyDescent="0.3">
      <c r="A151">
        <v>14</v>
      </c>
      <c r="B151" t="s">
        <v>55</v>
      </c>
      <c r="C151" t="s">
        <v>56</v>
      </c>
      <c r="D151" t="s">
        <v>14</v>
      </c>
      <c r="E151" t="s">
        <v>57</v>
      </c>
      <c r="F151" t="s">
        <v>51</v>
      </c>
      <c r="G151" s="1">
        <v>45809</v>
      </c>
      <c r="H151">
        <v>296</v>
      </c>
      <c r="I151">
        <v>8</v>
      </c>
      <c r="J151">
        <v>0.95</v>
      </c>
      <c r="K151">
        <v>2024</v>
      </c>
      <c r="L151" t="s">
        <v>18</v>
      </c>
    </row>
    <row r="152" spans="1:12" x14ac:dyDescent="0.3">
      <c r="A152">
        <v>14</v>
      </c>
      <c r="B152" t="s">
        <v>55</v>
      </c>
      <c r="C152" t="s">
        <v>56</v>
      </c>
      <c r="D152" t="s">
        <v>14</v>
      </c>
      <c r="E152" t="s">
        <v>57</v>
      </c>
      <c r="F152" t="s">
        <v>51</v>
      </c>
      <c r="G152" s="1">
        <v>45839</v>
      </c>
      <c r="H152">
        <v>360</v>
      </c>
      <c r="I152">
        <v>9</v>
      </c>
      <c r="J152">
        <v>0.87</v>
      </c>
      <c r="K152">
        <v>2440</v>
      </c>
      <c r="L152" t="s">
        <v>18</v>
      </c>
    </row>
    <row r="153" spans="1:12" x14ac:dyDescent="0.3">
      <c r="A153">
        <v>14</v>
      </c>
      <c r="B153" t="s">
        <v>55</v>
      </c>
      <c r="C153" t="s">
        <v>56</v>
      </c>
      <c r="D153" t="s">
        <v>14</v>
      </c>
      <c r="E153" t="s">
        <v>57</v>
      </c>
      <c r="F153" t="s">
        <v>51</v>
      </c>
      <c r="G153" s="1">
        <v>45870</v>
      </c>
      <c r="H153">
        <v>190</v>
      </c>
      <c r="I153">
        <v>5</v>
      </c>
      <c r="J153">
        <v>0.86</v>
      </c>
      <c r="K153">
        <v>1335</v>
      </c>
      <c r="L153" t="s">
        <v>17</v>
      </c>
    </row>
    <row r="154" spans="1:12" x14ac:dyDescent="0.3">
      <c r="A154">
        <v>14</v>
      </c>
      <c r="B154" t="s">
        <v>55</v>
      </c>
      <c r="C154" t="s">
        <v>56</v>
      </c>
      <c r="D154" t="s">
        <v>14</v>
      </c>
      <c r="E154" t="s">
        <v>57</v>
      </c>
      <c r="F154" t="s">
        <v>51</v>
      </c>
      <c r="G154" s="1">
        <v>45901</v>
      </c>
      <c r="H154">
        <v>151</v>
      </c>
      <c r="I154">
        <v>8</v>
      </c>
      <c r="J154">
        <v>0.95</v>
      </c>
      <c r="K154">
        <v>1081.5</v>
      </c>
      <c r="L154" t="s">
        <v>18</v>
      </c>
    </row>
    <row r="155" spans="1:12" x14ac:dyDescent="0.3">
      <c r="A155">
        <v>14</v>
      </c>
      <c r="B155" t="s">
        <v>55</v>
      </c>
      <c r="C155" t="s">
        <v>56</v>
      </c>
      <c r="D155" t="s">
        <v>14</v>
      </c>
      <c r="E155" t="s">
        <v>57</v>
      </c>
      <c r="F155" t="s">
        <v>51</v>
      </c>
      <c r="G155" s="1">
        <v>45931</v>
      </c>
      <c r="H155">
        <v>210</v>
      </c>
      <c r="I155">
        <v>7</v>
      </c>
      <c r="J155">
        <v>0.93</v>
      </c>
      <c r="K155">
        <v>1465</v>
      </c>
      <c r="L155" t="s">
        <v>18</v>
      </c>
    </row>
    <row r="156" spans="1:12" x14ac:dyDescent="0.3">
      <c r="A156">
        <v>14</v>
      </c>
      <c r="B156" t="s">
        <v>55</v>
      </c>
      <c r="C156" t="s">
        <v>56</v>
      </c>
      <c r="D156" t="s">
        <v>14</v>
      </c>
      <c r="E156" t="s">
        <v>57</v>
      </c>
      <c r="F156" t="s">
        <v>51</v>
      </c>
      <c r="G156" s="1">
        <v>45962</v>
      </c>
      <c r="H156">
        <v>248</v>
      </c>
      <c r="I156">
        <v>3</v>
      </c>
      <c r="J156">
        <v>0.88</v>
      </c>
      <c r="K156">
        <v>1712</v>
      </c>
      <c r="L156" t="s">
        <v>18</v>
      </c>
    </row>
    <row r="157" spans="1:12" x14ac:dyDescent="0.3">
      <c r="A157">
        <v>14</v>
      </c>
      <c r="B157" t="s">
        <v>55</v>
      </c>
      <c r="C157" t="s">
        <v>56</v>
      </c>
      <c r="D157" t="s">
        <v>14</v>
      </c>
      <c r="E157" t="s">
        <v>57</v>
      </c>
      <c r="F157" t="s">
        <v>51</v>
      </c>
      <c r="G157" s="1">
        <v>45992</v>
      </c>
      <c r="H157">
        <v>324</v>
      </c>
      <c r="I157">
        <v>6</v>
      </c>
      <c r="J157">
        <v>0.94</v>
      </c>
      <c r="K157">
        <v>2206</v>
      </c>
      <c r="L157" t="s">
        <v>18</v>
      </c>
    </row>
    <row r="158" spans="1:12" x14ac:dyDescent="0.3">
      <c r="A158">
        <v>15</v>
      </c>
      <c r="B158" t="s">
        <v>58</v>
      </c>
      <c r="C158" t="s">
        <v>59</v>
      </c>
      <c r="D158" t="s">
        <v>24</v>
      </c>
      <c r="E158" t="s">
        <v>33</v>
      </c>
      <c r="F158" t="s">
        <v>34</v>
      </c>
      <c r="G158" s="1">
        <v>45658</v>
      </c>
      <c r="H158">
        <v>357</v>
      </c>
      <c r="I158">
        <v>8</v>
      </c>
      <c r="J158">
        <v>0.85</v>
      </c>
      <c r="K158">
        <v>3177.4</v>
      </c>
      <c r="L158" t="s">
        <v>18</v>
      </c>
    </row>
    <row r="159" spans="1:12" x14ac:dyDescent="0.3">
      <c r="A159">
        <v>15</v>
      </c>
      <c r="B159" t="s">
        <v>58</v>
      </c>
      <c r="C159" t="s">
        <v>59</v>
      </c>
      <c r="D159" t="s">
        <v>24</v>
      </c>
      <c r="E159" t="s">
        <v>33</v>
      </c>
      <c r="F159" t="s">
        <v>34</v>
      </c>
      <c r="G159" s="1">
        <v>45689</v>
      </c>
      <c r="H159">
        <v>322</v>
      </c>
      <c r="I159">
        <v>5</v>
      </c>
      <c r="J159">
        <v>0.96</v>
      </c>
      <c r="K159">
        <v>2890.4</v>
      </c>
      <c r="L159" t="s">
        <v>18</v>
      </c>
    </row>
    <row r="160" spans="1:12" x14ac:dyDescent="0.3">
      <c r="A160">
        <v>15</v>
      </c>
      <c r="B160" t="s">
        <v>58</v>
      </c>
      <c r="C160" t="s">
        <v>59</v>
      </c>
      <c r="D160" t="s">
        <v>24</v>
      </c>
      <c r="E160" t="s">
        <v>33</v>
      </c>
      <c r="F160" t="s">
        <v>34</v>
      </c>
      <c r="G160" s="1">
        <v>45717</v>
      </c>
      <c r="H160">
        <v>270</v>
      </c>
      <c r="I160">
        <v>10</v>
      </c>
      <c r="J160">
        <v>0.98</v>
      </c>
      <c r="K160">
        <v>2464</v>
      </c>
      <c r="L160" t="s">
        <v>18</v>
      </c>
    </row>
    <row r="161" spans="1:12" x14ac:dyDescent="0.3">
      <c r="A161">
        <v>15</v>
      </c>
      <c r="B161" t="s">
        <v>58</v>
      </c>
      <c r="C161" t="s">
        <v>59</v>
      </c>
      <c r="D161" t="s">
        <v>24</v>
      </c>
      <c r="E161" t="s">
        <v>33</v>
      </c>
      <c r="F161" t="s">
        <v>34</v>
      </c>
      <c r="G161" s="1">
        <v>45748</v>
      </c>
      <c r="H161">
        <v>326</v>
      </c>
      <c r="I161">
        <v>10</v>
      </c>
      <c r="J161">
        <v>0.85</v>
      </c>
      <c r="K161">
        <v>2923.2</v>
      </c>
      <c r="L161" t="s">
        <v>18</v>
      </c>
    </row>
    <row r="162" spans="1:12" x14ac:dyDescent="0.3">
      <c r="A162">
        <v>15</v>
      </c>
      <c r="B162" t="s">
        <v>58</v>
      </c>
      <c r="C162" t="s">
        <v>59</v>
      </c>
      <c r="D162" t="s">
        <v>24</v>
      </c>
      <c r="E162" t="s">
        <v>33</v>
      </c>
      <c r="F162" t="s">
        <v>34</v>
      </c>
      <c r="G162" s="1">
        <v>45778</v>
      </c>
      <c r="H162">
        <v>351</v>
      </c>
      <c r="I162">
        <v>10</v>
      </c>
      <c r="J162">
        <v>0.9</v>
      </c>
      <c r="K162">
        <v>3128.2</v>
      </c>
      <c r="L162" t="s">
        <v>17</v>
      </c>
    </row>
    <row r="163" spans="1:12" x14ac:dyDescent="0.3">
      <c r="A163">
        <v>15</v>
      </c>
      <c r="B163" t="s">
        <v>58</v>
      </c>
      <c r="C163" t="s">
        <v>59</v>
      </c>
      <c r="D163" t="s">
        <v>24</v>
      </c>
      <c r="E163" t="s">
        <v>33</v>
      </c>
      <c r="F163" t="s">
        <v>34</v>
      </c>
      <c r="G163" s="1">
        <v>45809</v>
      </c>
      <c r="H163">
        <v>150</v>
      </c>
      <c r="I163">
        <v>3</v>
      </c>
      <c r="J163">
        <v>0.99</v>
      </c>
      <c r="K163">
        <v>1480</v>
      </c>
      <c r="L163" t="s">
        <v>18</v>
      </c>
    </row>
    <row r="164" spans="1:12" x14ac:dyDescent="0.3">
      <c r="A164">
        <v>15</v>
      </c>
      <c r="B164" t="s">
        <v>58</v>
      </c>
      <c r="C164" t="s">
        <v>59</v>
      </c>
      <c r="D164" t="s">
        <v>24</v>
      </c>
      <c r="E164" t="s">
        <v>33</v>
      </c>
      <c r="F164" t="s">
        <v>34</v>
      </c>
      <c r="G164" s="1">
        <v>45839</v>
      </c>
      <c r="H164">
        <v>185</v>
      </c>
      <c r="I164">
        <v>6</v>
      </c>
      <c r="J164">
        <v>0.94</v>
      </c>
      <c r="K164">
        <v>1767</v>
      </c>
      <c r="L164" t="s">
        <v>18</v>
      </c>
    </row>
    <row r="165" spans="1:12" x14ac:dyDescent="0.3">
      <c r="A165">
        <v>15</v>
      </c>
      <c r="B165" t="s">
        <v>58</v>
      </c>
      <c r="C165" t="s">
        <v>59</v>
      </c>
      <c r="D165" t="s">
        <v>24</v>
      </c>
      <c r="E165" t="s">
        <v>33</v>
      </c>
      <c r="F165" t="s">
        <v>34</v>
      </c>
      <c r="G165" s="1">
        <v>45870</v>
      </c>
      <c r="H165">
        <v>302</v>
      </c>
      <c r="I165">
        <v>2</v>
      </c>
      <c r="J165">
        <v>0.85</v>
      </c>
      <c r="K165">
        <v>2726.4</v>
      </c>
      <c r="L165" t="s">
        <v>18</v>
      </c>
    </row>
    <row r="166" spans="1:12" x14ac:dyDescent="0.3">
      <c r="A166">
        <v>15</v>
      </c>
      <c r="B166" t="s">
        <v>58</v>
      </c>
      <c r="C166" t="s">
        <v>59</v>
      </c>
      <c r="D166" t="s">
        <v>24</v>
      </c>
      <c r="E166" t="s">
        <v>33</v>
      </c>
      <c r="F166" t="s">
        <v>34</v>
      </c>
      <c r="G166" s="1">
        <v>45901</v>
      </c>
      <c r="H166">
        <v>347</v>
      </c>
      <c r="I166">
        <v>9</v>
      </c>
      <c r="J166">
        <v>0.98</v>
      </c>
      <c r="K166">
        <v>3095.4</v>
      </c>
      <c r="L166" t="s">
        <v>18</v>
      </c>
    </row>
    <row r="167" spans="1:12" x14ac:dyDescent="0.3">
      <c r="A167">
        <v>15</v>
      </c>
      <c r="B167" t="s">
        <v>58</v>
      </c>
      <c r="C167" t="s">
        <v>59</v>
      </c>
      <c r="D167" t="s">
        <v>24</v>
      </c>
      <c r="E167" t="s">
        <v>33</v>
      </c>
      <c r="F167" t="s">
        <v>34</v>
      </c>
      <c r="G167" s="1">
        <v>45931</v>
      </c>
      <c r="H167">
        <v>215</v>
      </c>
      <c r="I167">
        <v>6</v>
      </c>
      <c r="J167">
        <v>0.85</v>
      </c>
      <c r="K167">
        <v>2013</v>
      </c>
      <c r="L167" t="s">
        <v>18</v>
      </c>
    </row>
    <row r="168" spans="1:12" x14ac:dyDescent="0.3">
      <c r="A168">
        <v>15</v>
      </c>
      <c r="B168" t="s">
        <v>58</v>
      </c>
      <c r="C168" t="s">
        <v>59</v>
      </c>
      <c r="D168" t="s">
        <v>24</v>
      </c>
      <c r="E168" t="s">
        <v>33</v>
      </c>
      <c r="F168" t="s">
        <v>34</v>
      </c>
      <c r="G168" s="1">
        <v>45962</v>
      </c>
      <c r="H168">
        <v>338</v>
      </c>
      <c r="I168">
        <v>8</v>
      </c>
      <c r="J168">
        <v>0.94</v>
      </c>
      <c r="K168">
        <v>3021.6</v>
      </c>
      <c r="L168" t="s">
        <v>18</v>
      </c>
    </row>
    <row r="169" spans="1:12" x14ac:dyDescent="0.3">
      <c r="A169">
        <v>15</v>
      </c>
      <c r="B169" t="s">
        <v>58</v>
      </c>
      <c r="C169" t="s">
        <v>59</v>
      </c>
      <c r="D169" t="s">
        <v>24</v>
      </c>
      <c r="E169" t="s">
        <v>33</v>
      </c>
      <c r="F169" t="s">
        <v>34</v>
      </c>
      <c r="G169" s="1">
        <v>45992</v>
      </c>
      <c r="H169">
        <v>327</v>
      </c>
      <c r="I169">
        <v>9</v>
      </c>
      <c r="J169">
        <v>0.89</v>
      </c>
      <c r="K169">
        <v>2931.4</v>
      </c>
      <c r="L169" t="s">
        <v>18</v>
      </c>
    </row>
    <row r="170" spans="1:12" x14ac:dyDescent="0.3">
      <c r="A170">
        <v>16</v>
      </c>
      <c r="B170" t="s">
        <v>60</v>
      </c>
      <c r="C170" t="s">
        <v>61</v>
      </c>
      <c r="D170" t="s">
        <v>32</v>
      </c>
      <c r="E170" t="s">
        <v>62</v>
      </c>
      <c r="F170" t="s">
        <v>34</v>
      </c>
      <c r="G170" s="1">
        <v>45658</v>
      </c>
      <c r="H170">
        <v>254</v>
      </c>
      <c r="I170">
        <v>2</v>
      </c>
      <c r="J170">
        <v>0.95</v>
      </c>
      <c r="K170">
        <v>3167</v>
      </c>
      <c r="L170" t="s">
        <v>18</v>
      </c>
    </row>
    <row r="171" spans="1:12" x14ac:dyDescent="0.3">
      <c r="A171">
        <v>16</v>
      </c>
      <c r="B171" t="s">
        <v>60</v>
      </c>
      <c r="C171" t="s">
        <v>61</v>
      </c>
      <c r="D171" t="s">
        <v>32</v>
      </c>
      <c r="E171" t="s">
        <v>62</v>
      </c>
      <c r="F171" t="s">
        <v>34</v>
      </c>
      <c r="G171" s="1">
        <v>45689</v>
      </c>
      <c r="H171">
        <v>385</v>
      </c>
      <c r="I171">
        <v>5</v>
      </c>
      <c r="J171">
        <v>0.93</v>
      </c>
      <c r="K171">
        <v>4542.5</v>
      </c>
      <c r="L171" t="s">
        <v>18</v>
      </c>
    </row>
    <row r="172" spans="1:12" x14ac:dyDescent="0.3">
      <c r="A172">
        <v>16</v>
      </c>
      <c r="B172" t="s">
        <v>60</v>
      </c>
      <c r="C172" t="s">
        <v>61</v>
      </c>
      <c r="D172" t="s">
        <v>32</v>
      </c>
      <c r="E172" t="s">
        <v>62</v>
      </c>
      <c r="F172" t="s">
        <v>34</v>
      </c>
      <c r="G172" s="1">
        <v>45717</v>
      </c>
      <c r="H172">
        <v>163</v>
      </c>
      <c r="I172">
        <v>6</v>
      </c>
      <c r="J172">
        <v>0.96</v>
      </c>
      <c r="K172">
        <v>2211.5</v>
      </c>
      <c r="L172" t="s">
        <v>18</v>
      </c>
    </row>
    <row r="173" spans="1:12" x14ac:dyDescent="0.3">
      <c r="A173">
        <v>16</v>
      </c>
      <c r="B173" t="s">
        <v>60</v>
      </c>
      <c r="C173" t="s">
        <v>61</v>
      </c>
      <c r="D173" t="s">
        <v>32</v>
      </c>
      <c r="E173" t="s">
        <v>62</v>
      </c>
      <c r="F173" t="s">
        <v>34</v>
      </c>
      <c r="G173" s="1">
        <v>45748</v>
      </c>
      <c r="H173">
        <v>308</v>
      </c>
      <c r="I173">
        <v>7</v>
      </c>
      <c r="J173">
        <v>0.99</v>
      </c>
      <c r="K173">
        <v>3734</v>
      </c>
      <c r="L173" t="s">
        <v>18</v>
      </c>
    </row>
    <row r="174" spans="1:12" x14ac:dyDescent="0.3">
      <c r="A174">
        <v>16</v>
      </c>
      <c r="B174" t="s">
        <v>60</v>
      </c>
      <c r="C174" t="s">
        <v>61</v>
      </c>
      <c r="D174" t="s">
        <v>32</v>
      </c>
      <c r="E174" t="s">
        <v>62</v>
      </c>
      <c r="F174" t="s">
        <v>34</v>
      </c>
      <c r="G174" s="1">
        <v>45778</v>
      </c>
      <c r="H174">
        <v>204</v>
      </c>
      <c r="I174">
        <v>8</v>
      </c>
      <c r="J174">
        <v>0.88</v>
      </c>
      <c r="K174">
        <v>2642</v>
      </c>
      <c r="L174" t="s">
        <v>18</v>
      </c>
    </row>
    <row r="175" spans="1:12" x14ac:dyDescent="0.3">
      <c r="A175">
        <v>16</v>
      </c>
      <c r="B175" t="s">
        <v>60</v>
      </c>
      <c r="C175" t="s">
        <v>61</v>
      </c>
      <c r="D175" t="s">
        <v>32</v>
      </c>
      <c r="E175" t="s">
        <v>62</v>
      </c>
      <c r="F175" t="s">
        <v>34</v>
      </c>
      <c r="G175" s="1">
        <v>45809</v>
      </c>
      <c r="H175">
        <v>315</v>
      </c>
      <c r="I175">
        <v>4</v>
      </c>
      <c r="J175">
        <v>0.85</v>
      </c>
      <c r="K175">
        <v>3807.5</v>
      </c>
      <c r="L175" t="s">
        <v>17</v>
      </c>
    </row>
    <row r="176" spans="1:12" x14ac:dyDescent="0.3">
      <c r="A176">
        <v>16</v>
      </c>
      <c r="B176" t="s">
        <v>60</v>
      </c>
      <c r="C176" t="s">
        <v>61</v>
      </c>
      <c r="D176" t="s">
        <v>32</v>
      </c>
      <c r="E176" t="s">
        <v>62</v>
      </c>
      <c r="F176" t="s">
        <v>34</v>
      </c>
      <c r="G176" s="1">
        <v>45839</v>
      </c>
      <c r="H176">
        <v>175</v>
      </c>
      <c r="I176">
        <v>7</v>
      </c>
      <c r="J176">
        <v>0.86</v>
      </c>
      <c r="K176">
        <v>2337.5</v>
      </c>
      <c r="L176" t="s">
        <v>18</v>
      </c>
    </row>
    <row r="177" spans="1:12" x14ac:dyDescent="0.3">
      <c r="A177">
        <v>16</v>
      </c>
      <c r="B177" t="s">
        <v>60</v>
      </c>
      <c r="C177" t="s">
        <v>61</v>
      </c>
      <c r="D177" t="s">
        <v>32</v>
      </c>
      <c r="E177" t="s">
        <v>62</v>
      </c>
      <c r="F177" t="s">
        <v>34</v>
      </c>
      <c r="G177" s="1">
        <v>45870</v>
      </c>
      <c r="H177">
        <v>269</v>
      </c>
      <c r="I177">
        <v>3</v>
      </c>
      <c r="J177">
        <v>0.85</v>
      </c>
      <c r="K177">
        <v>3324.5</v>
      </c>
      <c r="L177" t="s">
        <v>18</v>
      </c>
    </row>
    <row r="178" spans="1:12" x14ac:dyDescent="0.3">
      <c r="A178">
        <v>16</v>
      </c>
      <c r="B178" t="s">
        <v>60</v>
      </c>
      <c r="C178" t="s">
        <v>61</v>
      </c>
      <c r="D178" t="s">
        <v>32</v>
      </c>
      <c r="E178" t="s">
        <v>62</v>
      </c>
      <c r="F178" t="s">
        <v>34</v>
      </c>
      <c r="G178" s="1">
        <v>45901</v>
      </c>
      <c r="H178">
        <v>218</v>
      </c>
      <c r="I178">
        <v>2</v>
      </c>
      <c r="J178">
        <v>0.89</v>
      </c>
      <c r="K178">
        <v>2789</v>
      </c>
      <c r="L178" t="s">
        <v>18</v>
      </c>
    </row>
    <row r="179" spans="1:12" x14ac:dyDescent="0.3">
      <c r="A179">
        <v>16</v>
      </c>
      <c r="B179" t="s">
        <v>60</v>
      </c>
      <c r="C179" t="s">
        <v>61</v>
      </c>
      <c r="D179" t="s">
        <v>32</v>
      </c>
      <c r="E179" t="s">
        <v>62</v>
      </c>
      <c r="F179" t="s">
        <v>34</v>
      </c>
      <c r="G179" s="1">
        <v>45931</v>
      </c>
      <c r="H179">
        <v>360</v>
      </c>
      <c r="I179">
        <v>9</v>
      </c>
      <c r="J179">
        <v>0.93</v>
      </c>
      <c r="K179">
        <v>4280</v>
      </c>
      <c r="L179" t="s">
        <v>18</v>
      </c>
    </row>
    <row r="180" spans="1:12" x14ac:dyDescent="0.3">
      <c r="A180">
        <v>16</v>
      </c>
      <c r="B180" t="s">
        <v>60</v>
      </c>
      <c r="C180" t="s">
        <v>61</v>
      </c>
      <c r="D180" t="s">
        <v>32</v>
      </c>
      <c r="E180" t="s">
        <v>62</v>
      </c>
      <c r="F180" t="s">
        <v>34</v>
      </c>
      <c r="G180" s="1">
        <v>45962</v>
      </c>
      <c r="H180">
        <v>200</v>
      </c>
      <c r="I180">
        <v>3</v>
      </c>
      <c r="J180">
        <v>0.87</v>
      </c>
      <c r="K180">
        <v>2600</v>
      </c>
      <c r="L180" t="s">
        <v>18</v>
      </c>
    </row>
    <row r="181" spans="1:12" x14ac:dyDescent="0.3">
      <c r="A181">
        <v>16</v>
      </c>
      <c r="B181" t="s">
        <v>60</v>
      </c>
      <c r="C181" t="s">
        <v>61</v>
      </c>
      <c r="D181" t="s">
        <v>32</v>
      </c>
      <c r="E181" t="s">
        <v>62</v>
      </c>
      <c r="F181" t="s">
        <v>34</v>
      </c>
      <c r="G181" s="1">
        <v>45992</v>
      </c>
      <c r="H181">
        <v>205</v>
      </c>
      <c r="I181">
        <v>9</v>
      </c>
      <c r="J181">
        <v>0.89</v>
      </c>
      <c r="K181">
        <v>2652.5</v>
      </c>
      <c r="L181" t="s">
        <v>17</v>
      </c>
    </row>
    <row r="182" spans="1:12" x14ac:dyDescent="0.3">
      <c r="A182">
        <v>17</v>
      </c>
      <c r="B182" t="s">
        <v>63</v>
      </c>
      <c r="C182" t="s">
        <v>64</v>
      </c>
      <c r="D182" t="s">
        <v>42</v>
      </c>
      <c r="E182" t="s">
        <v>65</v>
      </c>
      <c r="F182" t="s">
        <v>66</v>
      </c>
      <c r="G182" s="1">
        <v>45658</v>
      </c>
      <c r="H182">
        <v>181</v>
      </c>
      <c r="I182">
        <v>9</v>
      </c>
      <c r="J182">
        <v>0.92</v>
      </c>
      <c r="K182">
        <v>943.8</v>
      </c>
      <c r="L182" t="s">
        <v>18</v>
      </c>
    </row>
    <row r="183" spans="1:12" x14ac:dyDescent="0.3">
      <c r="A183">
        <v>17</v>
      </c>
      <c r="B183" t="s">
        <v>63</v>
      </c>
      <c r="C183" t="s">
        <v>64</v>
      </c>
      <c r="D183" t="s">
        <v>42</v>
      </c>
      <c r="E183" t="s">
        <v>65</v>
      </c>
      <c r="F183" t="s">
        <v>66</v>
      </c>
      <c r="G183" s="1">
        <v>45689</v>
      </c>
      <c r="H183">
        <v>253</v>
      </c>
      <c r="I183">
        <v>7</v>
      </c>
      <c r="J183">
        <v>0.94</v>
      </c>
      <c r="K183">
        <v>1289.4000000000001</v>
      </c>
      <c r="L183" t="s">
        <v>18</v>
      </c>
    </row>
    <row r="184" spans="1:12" x14ac:dyDescent="0.3">
      <c r="A184">
        <v>17</v>
      </c>
      <c r="B184" t="s">
        <v>63</v>
      </c>
      <c r="C184" t="s">
        <v>64</v>
      </c>
      <c r="D184" t="s">
        <v>42</v>
      </c>
      <c r="E184" t="s">
        <v>65</v>
      </c>
      <c r="F184" t="s">
        <v>66</v>
      </c>
      <c r="G184" s="1">
        <v>45717</v>
      </c>
      <c r="H184">
        <v>289</v>
      </c>
      <c r="I184">
        <v>5</v>
      </c>
      <c r="J184">
        <v>0.94</v>
      </c>
      <c r="K184">
        <v>1462.2</v>
      </c>
      <c r="L184" t="s">
        <v>18</v>
      </c>
    </row>
    <row r="185" spans="1:12" x14ac:dyDescent="0.3">
      <c r="A185">
        <v>17</v>
      </c>
      <c r="B185" t="s">
        <v>63</v>
      </c>
      <c r="C185" t="s">
        <v>64</v>
      </c>
      <c r="D185" t="s">
        <v>42</v>
      </c>
      <c r="E185" t="s">
        <v>65</v>
      </c>
      <c r="F185" t="s">
        <v>66</v>
      </c>
      <c r="G185" s="1">
        <v>45748</v>
      </c>
      <c r="H185">
        <v>260</v>
      </c>
      <c r="I185">
        <v>9</v>
      </c>
      <c r="J185">
        <v>0.89</v>
      </c>
      <c r="K185">
        <v>1323</v>
      </c>
      <c r="L185" t="s">
        <v>17</v>
      </c>
    </row>
    <row r="186" spans="1:12" x14ac:dyDescent="0.3">
      <c r="A186">
        <v>17</v>
      </c>
      <c r="B186" t="s">
        <v>63</v>
      </c>
      <c r="C186" t="s">
        <v>64</v>
      </c>
      <c r="D186" t="s">
        <v>42</v>
      </c>
      <c r="E186" t="s">
        <v>65</v>
      </c>
      <c r="F186" t="s">
        <v>66</v>
      </c>
      <c r="G186" s="1">
        <v>45778</v>
      </c>
      <c r="H186">
        <v>159</v>
      </c>
      <c r="I186">
        <v>9</v>
      </c>
      <c r="J186">
        <v>0.92</v>
      </c>
      <c r="K186">
        <v>838.2</v>
      </c>
      <c r="L186" t="s">
        <v>18</v>
      </c>
    </row>
    <row r="187" spans="1:12" x14ac:dyDescent="0.3">
      <c r="A187">
        <v>17</v>
      </c>
      <c r="B187" t="s">
        <v>63</v>
      </c>
      <c r="C187" t="s">
        <v>64</v>
      </c>
      <c r="D187" t="s">
        <v>42</v>
      </c>
      <c r="E187" t="s">
        <v>65</v>
      </c>
      <c r="F187" t="s">
        <v>66</v>
      </c>
      <c r="G187" s="1">
        <v>45809</v>
      </c>
      <c r="H187">
        <v>180</v>
      </c>
      <c r="I187">
        <v>8</v>
      </c>
      <c r="J187">
        <v>0.96</v>
      </c>
      <c r="K187">
        <v>939</v>
      </c>
      <c r="L187" t="s">
        <v>18</v>
      </c>
    </row>
    <row r="188" spans="1:12" x14ac:dyDescent="0.3">
      <c r="A188">
        <v>17</v>
      </c>
      <c r="B188" t="s">
        <v>63</v>
      </c>
      <c r="C188" t="s">
        <v>64</v>
      </c>
      <c r="D188" t="s">
        <v>42</v>
      </c>
      <c r="E188" t="s">
        <v>65</v>
      </c>
      <c r="F188" t="s">
        <v>66</v>
      </c>
      <c r="G188" s="1">
        <v>45839</v>
      </c>
      <c r="H188">
        <v>345</v>
      </c>
      <c r="I188">
        <v>3</v>
      </c>
      <c r="J188">
        <v>0.89</v>
      </c>
      <c r="K188">
        <v>1731</v>
      </c>
      <c r="L188" t="s">
        <v>18</v>
      </c>
    </row>
    <row r="189" spans="1:12" x14ac:dyDescent="0.3">
      <c r="A189">
        <v>17</v>
      </c>
      <c r="B189" t="s">
        <v>63</v>
      </c>
      <c r="C189" t="s">
        <v>64</v>
      </c>
      <c r="D189" t="s">
        <v>42</v>
      </c>
      <c r="E189" t="s">
        <v>65</v>
      </c>
      <c r="F189" t="s">
        <v>66</v>
      </c>
      <c r="G189" s="1">
        <v>45870</v>
      </c>
      <c r="H189">
        <v>228</v>
      </c>
      <c r="I189">
        <v>6</v>
      </c>
      <c r="J189">
        <v>0.97</v>
      </c>
      <c r="K189">
        <v>1169.4000000000001</v>
      </c>
      <c r="L189" t="s">
        <v>18</v>
      </c>
    </row>
    <row r="190" spans="1:12" x14ac:dyDescent="0.3">
      <c r="A190">
        <v>17</v>
      </c>
      <c r="B190" t="s">
        <v>63</v>
      </c>
      <c r="C190" t="s">
        <v>64</v>
      </c>
      <c r="D190" t="s">
        <v>42</v>
      </c>
      <c r="E190" t="s">
        <v>65</v>
      </c>
      <c r="F190" t="s">
        <v>66</v>
      </c>
      <c r="G190" s="1">
        <v>45901</v>
      </c>
      <c r="H190">
        <v>154</v>
      </c>
      <c r="I190">
        <v>7</v>
      </c>
      <c r="J190">
        <v>0.92</v>
      </c>
      <c r="K190">
        <v>814.2</v>
      </c>
      <c r="L190" t="s">
        <v>18</v>
      </c>
    </row>
    <row r="191" spans="1:12" x14ac:dyDescent="0.3">
      <c r="A191">
        <v>17</v>
      </c>
      <c r="B191" t="s">
        <v>63</v>
      </c>
      <c r="C191" t="s">
        <v>64</v>
      </c>
      <c r="D191" t="s">
        <v>42</v>
      </c>
      <c r="E191" t="s">
        <v>65</v>
      </c>
      <c r="F191" t="s">
        <v>66</v>
      </c>
      <c r="G191" s="1">
        <v>45931</v>
      </c>
      <c r="H191">
        <v>237</v>
      </c>
      <c r="I191">
        <v>6</v>
      </c>
      <c r="J191">
        <v>0.91</v>
      </c>
      <c r="K191">
        <v>1212.5999999999999</v>
      </c>
      <c r="L191" t="s">
        <v>18</v>
      </c>
    </row>
    <row r="192" spans="1:12" x14ac:dyDescent="0.3">
      <c r="A192">
        <v>17</v>
      </c>
      <c r="B192" t="s">
        <v>63</v>
      </c>
      <c r="C192" t="s">
        <v>64</v>
      </c>
      <c r="D192" t="s">
        <v>42</v>
      </c>
      <c r="E192" t="s">
        <v>65</v>
      </c>
      <c r="F192" t="s">
        <v>66</v>
      </c>
      <c r="G192" s="1">
        <v>45962</v>
      </c>
      <c r="H192">
        <v>156</v>
      </c>
      <c r="I192">
        <v>10</v>
      </c>
      <c r="J192">
        <v>0.9</v>
      </c>
      <c r="K192">
        <v>823.8</v>
      </c>
      <c r="L192" t="s">
        <v>18</v>
      </c>
    </row>
    <row r="193" spans="1:12" x14ac:dyDescent="0.3">
      <c r="A193">
        <v>17</v>
      </c>
      <c r="B193" t="s">
        <v>63</v>
      </c>
      <c r="C193" t="s">
        <v>64</v>
      </c>
      <c r="D193" t="s">
        <v>42</v>
      </c>
      <c r="E193" t="s">
        <v>65</v>
      </c>
      <c r="F193" t="s">
        <v>66</v>
      </c>
      <c r="G193" s="1">
        <v>45992</v>
      </c>
      <c r="H193">
        <v>304</v>
      </c>
      <c r="I193">
        <v>7</v>
      </c>
      <c r="J193">
        <v>0.89</v>
      </c>
      <c r="K193">
        <v>1534.2</v>
      </c>
      <c r="L193" t="s">
        <v>17</v>
      </c>
    </row>
    <row r="194" spans="1:12" x14ac:dyDescent="0.3">
      <c r="A194">
        <v>18</v>
      </c>
      <c r="B194" t="s">
        <v>67</v>
      </c>
      <c r="C194" t="s">
        <v>68</v>
      </c>
      <c r="D194" t="s">
        <v>14</v>
      </c>
      <c r="E194" t="s">
        <v>69</v>
      </c>
      <c r="F194" t="s">
        <v>66</v>
      </c>
      <c r="G194" s="1">
        <v>45658</v>
      </c>
      <c r="H194">
        <v>254</v>
      </c>
      <c r="I194">
        <v>2</v>
      </c>
      <c r="J194">
        <v>0.87</v>
      </c>
      <c r="K194">
        <v>1751</v>
      </c>
      <c r="L194" t="s">
        <v>18</v>
      </c>
    </row>
    <row r="195" spans="1:12" x14ac:dyDescent="0.3">
      <c r="A195">
        <v>18</v>
      </c>
      <c r="B195" t="s">
        <v>67</v>
      </c>
      <c r="C195" t="s">
        <v>68</v>
      </c>
      <c r="D195" t="s">
        <v>14</v>
      </c>
      <c r="E195" t="s">
        <v>69</v>
      </c>
      <c r="F195" t="s">
        <v>66</v>
      </c>
      <c r="G195" s="1">
        <v>45689</v>
      </c>
      <c r="H195">
        <v>218</v>
      </c>
      <c r="I195">
        <v>9</v>
      </c>
      <c r="J195">
        <v>0.9</v>
      </c>
      <c r="K195">
        <v>1517</v>
      </c>
      <c r="L195" t="s">
        <v>18</v>
      </c>
    </row>
    <row r="196" spans="1:12" x14ac:dyDescent="0.3">
      <c r="A196">
        <v>18</v>
      </c>
      <c r="B196" t="s">
        <v>67</v>
      </c>
      <c r="C196" t="s">
        <v>68</v>
      </c>
      <c r="D196" t="s">
        <v>14</v>
      </c>
      <c r="E196" t="s">
        <v>69</v>
      </c>
      <c r="F196" t="s">
        <v>66</v>
      </c>
      <c r="G196" s="1">
        <v>45717</v>
      </c>
      <c r="H196">
        <v>212</v>
      </c>
      <c r="I196">
        <v>3</v>
      </c>
      <c r="J196">
        <v>0.98</v>
      </c>
      <c r="K196">
        <v>1478</v>
      </c>
      <c r="L196" t="s">
        <v>17</v>
      </c>
    </row>
    <row r="197" spans="1:12" x14ac:dyDescent="0.3">
      <c r="A197">
        <v>18</v>
      </c>
      <c r="B197" t="s">
        <v>67</v>
      </c>
      <c r="C197" t="s">
        <v>68</v>
      </c>
      <c r="D197" t="s">
        <v>14</v>
      </c>
      <c r="E197" t="s">
        <v>69</v>
      </c>
      <c r="F197" t="s">
        <v>66</v>
      </c>
      <c r="G197" s="1">
        <v>45748</v>
      </c>
      <c r="H197">
        <v>205</v>
      </c>
      <c r="I197">
        <v>9</v>
      </c>
      <c r="J197">
        <v>0.85</v>
      </c>
      <c r="K197">
        <v>1432.5</v>
      </c>
      <c r="L197" t="s">
        <v>18</v>
      </c>
    </row>
    <row r="198" spans="1:12" x14ac:dyDescent="0.3">
      <c r="A198">
        <v>18</v>
      </c>
      <c r="B198" t="s">
        <v>67</v>
      </c>
      <c r="C198" t="s">
        <v>68</v>
      </c>
      <c r="D198" t="s">
        <v>14</v>
      </c>
      <c r="E198" t="s">
        <v>69</v>
      </c>
      <c r="F198" t="s">
        <v>66</v>
      </c>
      <c r="G198" s="1">
        <v>45778</v>
      </c>
      <c r="H198">
        <v>158</v>
      </c>
      <c r="I198">
        <v>5</v>
      </c>
      <c r="J198">
        <v>0.99</v>
      </c>
      <c r="K198">
        <v>1127</v>
      </c>
      <c r="L198" t="s">
        <v>18</v>
      </c>
    </row>
    <row r="199" spans="1:12" x14ac:dyDescent="0.3">
      <c r="A199">
        <v>18</v>
      </c>
      <c r="B199" t="s">
        <v>67</v>
      </c>
      <c r="C199" t="s">
        <v>68</v>
      </c>
      <c r="D199" t="s">
        <v>14</v>
      </c>
      <c r="E199" t="s">
        <v>69</v>
      </c>
      <c r="F199" t="s">
        <v>66</v>
      </c>
      <c r="G199" s="1">
        <v>45809</v>
      </c>
      <c r="H199">
        <v>273</v>
      </c>
      <c r="I199">
        <v>9</v>
      </c>
      <c r="J199">
        <v>0.91</v>
      </c>
      <c r="K199">
        <v>1874.5</v>
      </c>
      <c r="L199" t="s">
        <v>18</v>
      </c>
    </row>
    <row r="200" spans="1:12" x14ac:dyDescent="0.3">
      <c r="A200">
        <v>18</v>
      </c>
      <c r="B200" t="s">
        <v>67</v>
      </c>
      <c r="C200" t="s">
        <v>68</v>
      </c>
      <c r="D200" t="s">
        <v>14</v>
      </c>
      <c r="E200" t="s">
        <v>69</v>
      </c>
      <c r="F200" t="s">
        <v>66</v>
      </c>
      <c r="G200" s="1">
        <v>45839</v>
      </c>
      <c r="H200">
        <v>316</v>
      </c>
      <c r="I200">
        <v>3</v>
      </c>
      <c r="J200">
        <v>0.85</v>
      </c>
      <c r="K200">
        <v>2154</v>
      </c>
      <c r="L200" t="s">
        <v>17</v>
      </c>
    </row>
    <row r="201" spans="1:12" x14ac:dyDescent="0.3">
      <c r="A201">
        <v>18</v>
      </c>
      <c r="B201" t="s">
        <v>67</v>
      </c>
      <c r="C201" t="s">
        <v>68</v>
      </c>
      <c r="D201" t="s">
        <v>14</v>
      </c>
      <c r="E201" t="s">
        <v>69</v>
      </c>
      <c r="F201" t="s">
        <v>66</v>
      </c>
      <c r="G201" s="1">
        <v>45870</v>
      </c>
      <c r="H201">
        <v>293</v>
      </c>
      <c r="I201">
        <v>3</v>
      </c>
      <c r="J201">
        <v>0.93</v>
      </c>
      <c r="K201">
        <v>2004.5</v>
      </c>
      <c r="L201" t="s">
        <v>18</v>
      </c>
    </row>
    <row r="202" spans="1:12" x14ac:dyDescent="0.3">
      <c r="A202">
        <v>18</v>
      </c>
      <c r="B202" t="s">
        <v>67</v>
      </c>
      <c r="C202" t="s">
        <v>68</v>
      </c>
      <c r="D202" t="s">
        <v>14</v>
      </c>
      <c r="E202" t="s">
        <v>69</v>
      </c>
      <c r="F202" t="s">
        <v>66</v>
      </c>
      <c r="G202" s="1">
        <v>45901</v>
      </c>
      <c r="H202">
        <v>366</v>
      </c>
      <c r="I202">
        <v>6</v>
      </c>
      <c r="J202">
        <v>0.89</v>
      </c>
      <c r="K202">
        <v>2479</v>
      </c>
      <c r="L202" t="s">
        <v>18</v>
      </c>
    </row>
    <row r="203" spans="1:12" x14ac:dyDescent="0.3">
      <c r="A203">
        <v>18</v>
      </c>
      <c r="B203" t="s">
        <v>67</v>
      </c>
      <c r="C203" t="s">
        <v>68</v>
      </c>
      <c r="D203" t="s">
        <v>14</v>
      </c>
      <c r="E203" t="s">
        <v>69</v>
      </c>
      <c r="F203" t="s">
        <v>66</v>
      </c>
      <c r="G203" s="1">
        <v>45931</v>
      </c>
      <c r="H203">
        <v>341</v>
      </c>
      <c r="I203">
        <v>6</v>
      </c>
      <c r="J203">
        <v>0.95</v>
      </c>
      <c r="K203">
        <v>2316.5</v>
      </c>
      <c r="L203" t="s">
        <v>18</v>
      </c>
    </row>
    <row r="204" spans="1:12" x14ac:dyDescent="0.3">
      <c r="A204">
        <v>18</v>
      </c>
      <c r="B204" t="s">
        <v>67</v>
      </c>
      <c r="C204" t="s">
        <v>68</v>
      </c>
      <c r="D204" t="s">
        <v>14</v>
      </c>
      <c r="E204" t="s">
        <v>69</v>
      </c>
      <c r="F204" t="s">
        <v>66</v>
      </c>
      <c r="G204" s="1">
        <v>45962</v>
      </c>
      <c r="H204">
        <v>243</v>
      </c>
      <c r="I204">
        <v>9</v>
      </c>
      <c r="J204">
        <v>0.89</v>
      </c>
      <c r="K204">
        <v>1679.5</v>
      </c>
      <c r="L204" t="s">
        <v>18</v>
      </c>
    </row>
    <row r="205" spans="1:12" x14ac:dyDescent="0.3">
      <c r="A205">
        <v>18</v>
      </c>
      <c r="B205" t="s">
        <v>67</v>
      </c>
      <c r="C205" t="s">
        <v>68</v>
      </c>
      <c r="D205" t="s">
        <v>14</v>
      </c>
      <c r="E205" t="s">
        <v>69</v>
      </c>
      <c r="F205" t="s">
        <v>66</v>
      </c>
      <c r="G205" s="1">
        <v>45992</v>
      </c>
      <c r="H205">
        <v>233</v>
      </c>
      <c r="I205">
        <v>7</v>
      </c>
      <c r="J205">
        <v>0.96</v>
      </c>
      <c r="K205">
        <v>1614.5</v>
      </c>
      <c r="L205" t="s">
        <v>18</v>
      </c>
    </row>
    <row r="206" spans="1:12" x14ac:dyDescent="0.3">
      <c r="A206">
        <v>19</v>
      </c>
      <c r="B206" t="s">
        <v>70</v>
      </c>
      <c r="C206" t="s">
        <v>71</v>
      </c>
      <c r="D206" t="s">
        <v>24</v>
      </c>
      <c r="E206" t="s">
        <v>72</v>
      </c>
      <c r="F206" t="s">
        <v>73</v>
      </c>
      <c r="G206" s="1">
        <v>45658</v>
      </c>
      <c r="H206">
        <v>171</v>
      </c>
      <c r="I206">
        <v>3</v>
      </c>
      <c r="J206">
        <v>0.88</v>
      </c>
      <c r="K206">
        <v>1652.2</v>
      </c>
      <c r="L206" t="s">
        <v>18</v>
      </c>
    </row>
    <row r="207" spans="1:12" x14ac:dyDescent="0.3">
      <c r="A207">
        <v>19</v>
      </c>
      <c r="B207" t="s">
        <v>70</v>
      </c>
      <c r="C207" t="s">
        <v>71</v>
      </c>
      <c r="D207" t="s">
        <v>24</v>
      </c>
      <c r="E207" t="s">
        <v>72</v>
      </c>
      <c r="F207" t="s">
        <v>73</v>
      </c>
      <c r="G207" s="1">
        <v>45689</v>
      </c>
      <c r="H207">
        <v>376</v>
      </c>
      <c r="I207">
        <v>6</v>
      </c>
      <c r="J207">
        <v>0.96</v>
      </c>
      <c r="K207">
        <v>3333.2</v>
      </c>
      <c r="L207" t="s">
        <v>18</v>
      </c>
    </row>
    <row r="208" spans="1:12" x14ac:dyDescent="0.3">
      <c r="A208">
        <v>19</v>
      </c>
      <c r="B208" t="s">
        <v>70</v>
      </c>
      <c r="C208" t="s">
        <v>71</v>
      </c>
      <c r="D208" t="s">
        <v>24</v>
      </c>
      <c r="E208" t="s">
        <v>72</v>
      </c>
      <c r="F208" t="s">
        <v>73</v>
      </c>
      <c r="G208" s="1">
        <v>45717</v>
      </c>
      <c r="H208">
        <v>253</v>
      </c>
      <c r="I208">
        <v>6</v>
      </c>
      <c r="J208">
        <v>0.98</v>
      </c>
      <c r="K208">
        <v>2324.6</v>
      </c>
      <c r="L208" t="s">
        <v>18</v>
      </c>
    </row>
    <row r="209" spans="1:12" x14ac:dyDescent="0.3">
      <c r="A209">
        <v>19</v>
      </c>
      <c r="B209" t="s">
        <v>70</v>
      </c>
      <c r="C209" t="s">
        <v>71</v>
      </c>
      <c r="D209" t="s">
        <v>24</v>
      </c>
      <c r="E209" t="s">
        <v>72</v>
      </c>
      <c r="F209" t="s">
        <v>73</v>
      </c>
      <c r="G209" s="1">
        <v>45748</v>
      </c>
      <c r="H209">
        <v>389</v>
      </c>
      <c r="I209">
        <v>7</v>
      </c>
      <c r="J209">
        <v>0.98</v>
      </c>
      <c r="K209">
        <v>3439.8</v>
      </c>
      <c r="L209" t="s">
        <v>17</v>
      </c>
    </row>
    <row r="210" spans="1:12" x14ac:dyDescent="0.3">
      <c r="A210">
        <v>19</v>
      </c>
      <c r="B210" t="s">
        <v>70</v>
      </c>
      <c r="C210" t="s">
        <v>71</v>
      </c>
      <c r="D210" t="s">
        <v>24</v>
      </c>
      <c r="E210" t="s">
        <v>72</v>
      </c>
      <c r="F210" t="s">
        <v>73</v>
      </c>
      <c r="G210" s="1">
        <v>45778</v>
      </c>
      <c r="H210">
        <v>277</v>
      </c>
      <c r="I210">
        <v>2</v>
      </c>
      <c r="J210">
        <v>0.95</v>
      </c>
      <c r="K210">
        <v>2521.4</v>
      </c>
      <c r="L210" t="s">
        <v>18</v>
      </c>
    </row>
    <row r="211" spans="1:12" x14ac:dyDescent="0.3">
      <c r="A211">
        <v>19</v>
      </c>
      <c r="B211" t="s">
        <v>70</v>
      </c>
      <c r="C211" t="s">
        <v>71</v>
      </c>
      <c r="D211" t="s">
        <v>24</v>
      </c>
      <c r="E211" t="s">
        <v>72</v>
      </c>
      <c r="F211" t="s">
        <v>73</v>
      </c>
      <c r="G211" s="1">
        <v>45809</v>
      </c>
      <c r="H211">
        <v>363</v>
      </c>
      <c r="I211">
        <v>9</v>
      </c>
      <c r="J211">
        <v>0.97</v>
      </c>
      <c r="K211">
        <v>3226.6</v>
      </c>
      <c r="L211" t="s">
        <v>18</v>
      </c>
    </row>
    <row r="212" spans="1:12" x14ac:dyDescent="0.3">
      <c r="A212">
        <v>19</v>
      </c>
      <c r="B212" t="s">
        <v>70</v>
      </c>
      <c r="C212" t="s">
        <v>71</v>
      </c>
      <c r="D212" t="s">
        <v>24</v>
      </c>
      <c r="E212" t="s">
        <v>72</v>
      </c>
      <c r="F212" t="s">
        <v>73</v>
      </c>
      <c r="G212" s="1">
        <v>45839</v>
      </c>
      <c r="H212">
        <v>342</v>
      </c>
      <c r="I212">
        <v>4</v>
      </c>
      <c r="J212">
        <v>0.95</v>
      </c>
      <c r="K212">
        <v>3054.4</v>
      </c>
      <c r="L212" t="s">
        <v>18</v>
      </c>
    </row>
    <row r="213" spans="1:12" x14ac:dyDescent="0.3">
      <c r="A213">
        <v>19</v>
      </c>
      <c r="B213" t="s">
        <v>70</v>
      </c>
      <c r="C213" t="s">
        <v>71</v>
      </c>
      <c r="D213" t="s">
        <v>24</v>
      </c>
      <c r="E213" t="s">
        <v>72</v>
      </c>
      <c r="F213" t="s">
        <v>73</v>
      </c>
      <c r="G213" s="1">
        <v>45870</v>
      </c>
      <c r="H213">
        <v>204</v>
      </c>
      <c r="I213">
        <v>4</v>
      </c>
      <c r="J213">
        <v>0.89</v>
      </c>
      <c r="K213">
        <v>1922.8</v>
      </c>
      <c r="L213" t="s">
        <v>17</v>
      </c>
    </row>
    <row r="214" spans="1:12" x14ac:dyDescent="0.3">
      <c r="A214">
        <v>19</v>
      </c>
      <c r="B214" t="s">
        <v>70</v>
      </c>
      <c r="C214" t="s">
        <v>71</v>
      </c>
      <c r="D214" t="s">
        <v>24</v>
      </c>
      <c r="E214" t="s">
        <v>72</v>
      </c>
      <c r="F214" t="s">
        <v>73</v>
      </c>
      <c r="G214" s="1">
        <v>45901</v>
      </c>
      <c r="H214">
        <v>285</v>
      </c>
      <c r="I214">
        <v>3</v>
      </c>
      <c r="J214">
        <v>0.87</v>
      </c>
      <c r="K214">
        <v>2587</v>
      </c>
      <c r="L214" t="s">
        <v>18</v>
      </c>
    </row>
    <row r="215" spans="1:12" x14ac:dyDescent="0.3">
      <c r="A215">
        <v>19</v>
      </c>
      <c r="B215" t="s">
        <v>70</v>
      </c>
      <c r="C215" t="s">
        <v>71</v>
      </c>
      <c r="D215" t="s">
        <v>24</v>
      </c>
      <c r="E215" t="s">
        <v>72</v>
      </c>
      <c r="F215" t="s">
        <v>73</v>
      </c>
      <c r="G215" s="1">
        <v>45931</v>
      </c>
      <c r="H215">
        <v>311</v>
      </c>
      <c r="I215">
        <v>3</v>
      </c>
      <c r="J215">
        <v>0.92</v>
      </c>
      <c r="K215">
        <v>2800.2</v>
      </c>
      <c r="L215" t="s">
        <v>17</v>
      </c>
    </row>
    <row r="216" spans="1:12" x14ac:dyDescent="0.3">
      <c r="A216">
        <v>19</v>
      </c>
      <c r="B216" t="s">
        <v>70</v>
      </c>
      <c r="C216" t="s">
        <v>71</v>
      </c>
      <c r="D216" t="s">
        <v>24</v>
      </c>
      <c r="E216" t="s">
        <v>72</v>
      </c>
      <c r="F216" t="s">
        <v>73</v>
      </c>
      <c r="G216" s="1">
        <v>45962</v>
      </c>
      <c r="H216">
        <v>310</v>
      </c>
      <c r="I216">
        <v>6</v>
      </c>
      <c r="J216">
        <v>0.91</v>
      </c>
      <c r="K216">
        <v>2792</v>
      </c>
      <c r="L216" t="s">
        <v>18</v>
      </c>
    </row>
    <row r="217" spans="1:12" x14ac:dyDescent="0.3">
      <c r="A217">
        <v>19</v>
      </c>
      <c r="B217" t="s">
        <v>70</v>
      </c>
      <c r="C217" t="s">
        <v>71</v>
      </c>
      <c r="D217" t="s">
        <v>24</v>
      </c>
      <c r="E217" t="s">
        <v>72</v>
      </c>
      <c r="F217" t="s">
        <v>73</v>
      </c>
      <c r="G217" s="1">
        <v>45992</v>
      </c>
      <c r="H217">
        <v>228</v>
      </c>
      <c r="I217">
        <v>4</v>
      </c>
      <c r="J217">
        <v>0.97</v>
      </c>
      <c r="K217">
        <v>2119.6</v>
      </c>
      <c r="L217" t="s">
        <v>18</v>
      </c>
    </row>
    <row r="218" spans="1:12" x14ac:dyDescent="0.3">
      <c r="A218">
        <v>20</v>
      </c>
      <c r="B218" t="s">
        <v>74</v>
      </c>
      <c r="C218" t="s">
        <v>75</v>
      </c>
      <c r="D218" t="s">
        <v>32</v>
      </c>
      <c r="E218" t="s">
        <v>76</v>
      </c>
      <c r="F218" t="s">
        <v>77</v>
      </c>
      <c r="G218" s="1">
        <v>45658</v>
      </c>
      <c r="H218">
        <v>323</v>
      </c>
      <c r="I218">
        <v>6</v>
      </c>
      <c r="J218">
        <v>0.93</v>
      </c>
      <c r="K218">
        <v>3891.5</v>
      </c>
      <c r="L218" t="s">
        <v>18</v>
      </c>
    </row>
    <row r="219" spans="1:12" x14ac:dyDescent="0.3">
      <c r="A219">
        <v>20</v>
      </c>
      <c r="B219" t="s">
        <v>74</v>
      </c>
      <c r="C219" t="s">
        <v>75</v>
      </c>
      <c r="D219" t="s">
        <v>32</v>
      </c>
      <c r="E219" t="s">
        <v>76</v>
      </c>
      <c r="F219" t="s">
        <v>77</v>
      </c>
      <c r="G219" s="1">
        <v>45689</v>
      </c>
      <c r="H219">
        <v>377</v>
      </c>
      <c r="I219">
        <v>8</v>
      </c>
      <c r="J219">
        <v>0.93</v>
      </c>
      <c r="K219">
        <v>4458.5</v>
      </c>
      <c r="L219" t="s">
        <v>18</v>
      </c>
    </row>
    <row r="220" spans="1:12" x14ac:dyDescent="0.3">
      <c r="A220">
        <v>20</v>
      </c>
      <c r="B220" t="s">
        <v>74</v>
      </c>
      <c r="C220" t="s">
        <v>75</v>
      </c>
      <c r="D220" t="s">
        <v>32</v>
      </c>
      <c r="E220" t="s">
        <v>76</v>
      </c>
      <c r="F220" t="s">
        <v>77</v>
      </c>
      <c r="G220" s="1">
        <v>45717</v>
      </c>
      <c r="H220">
        <v>208</v>
      </c>
      <c r="I220">
        <v>8</v>
      </c>
      <c r="J220">
        <v>0.98</v>
      </c>
      <c r="K220">
        <v>2684</v>
      </c>
      <c r="L220" t="s">
        <v>18</v>
      </c>
    </row>
    <row r="221" spans="1:12" x14ac:dyDescent="0.3">
      <c r="A221">
        <v>20</v>
      </c>
      <c r="B221" t="s">
        <v>74</v>
      </c>
      <c r="C221" t="s">
        <v>75</v>
      </c>
      <c r="D221" t="s">
        <v>32</v>
      </c>
      <c r="E221" t="s">
        <v>76</v>
      </c>
      <c r="F221" t="s">
        <v>77</v>
      </c>
      <c r="G221" s="1">
        <v>45748</v>
      </c>
      <c r="H221">
        <v>370</v>
      </c>
      <c r="I221">
        <v>3</v>
      </c>
      <c r="J221">
        <v>0.95</v>
      </c>
      <c r="K221">
        <v>4385</v>
      </c>
      <c r="L221" t="s">
        <v>18</v>
      </c>
    </row>
    <row r="222" spans="1:12" x14ac:dyDescent="0.3">
      <c r="A222">
        <v>20</v>
      </c>
      <c r="B222" t="s">
        <v>74</v>
      </c>
      <c r="C222" t="s">
        <v>75</v>
      </c>
      <c r="D222" t="s">
        <v>32</v>
      </c>
      <c r="E222" t="s">
        <v>76</v>
      </c>
      <c r="F222" t="s">
        <v>77</v>
      </c>
      <c r="G222" s="1">
        <v>45778</v>
      </c>
      <c r="H222">
        <v>226</v>
      </c>
      <c r="I222">
        <v>3</v>
      </c>
      <c r="J222">
        <v>0.9</v>
      </c>
      <c r="K222">
        <v>2873</v>
      </c>
      <c r="L222" t="s">
        <v>18</v>
      </c>
    </row>
    <row r="223" spans="1:12" x14ac:dyDescent="0.3">
      <c r="A223">
        <v>20</v>
      </c>
      <c r="B223" t="s">
        <v>74</v>
      </c>
      <c r="C223" t="s">
        <v>75</v>
      </c>
      <c r="D223" t="s">
        <v>32</v>
      </c>
      <c r="E223" t="s">
        <v>76</v>
      </c>
      <c r="F223" t="s">
        <v>77</v>
      </c>
      <c r="G223" s="1">
        <v>45809</v>
      </c>
      <c r="H223">
        <v>319</v>
      </c>
      <c r="I223">
        <v>7</v>
      </c>
      <c r="J223">
        <v>0.94</v>
      </c>
      <c r="K223">
        <v>3849.5</v>
      </c>
      <c r="L223" t="s">
        <v>17</v>
      </c>
    </row>
    <row r="224" spans="1:12" x14ac:dyDescent="0.3">
      <c r="A224">
        <v>20</v>
      </c>
      <c r="B224" t="s">
        <v>74</v>
      </c>
      <c r="C224" t="s">
        <v>75</v>
      </c>
      <c r="D224" t="s">
        <v>32</v>
      </c>
      <c r="E224" t="s">
        <v>76</v>
      </c>
      <c r="F224" t="s">
        <v>77</v>
      </c>
      <c r="G224" s="1">
        <v>45839</v>
      </c>
      <c r="H224">
        <v>257</v>
      </c>
      <c r="I224">
        <v>5</v>
      </c>
      <c r="J224">
        <v>0.9</v>
      </c>
      <c r="K224">
        <v>3198.5</v>
      </c>
      <c r="L224" t="s">
        <v>18</v>
      </c>
    </row>
    <row r="225" spans="1:12" x14ac:dyDescent="0.3">
      <c r="A225">
        <v>20</v>
      </c>
      <c r="B225" t="s">
        <v>74</v>
      </c>
      <c r="C225" t="s">
        <v>75</v>
      </c>
      <c r="D225" t="s">
        <v>32</v>
      </c>
      <c r="E225" t="s">
        <v>76</v>
      </c>
      <c r="F225" t="s">
        <v>77</v>
      </c>
      <c r="G225" s="1">
        <v>45870</v>
      </c>
      <c r="H225">
        <v>356</v>
      </c>
      <c r="I225">
        <v>4</v>
      </c>
      <c r="J225">
        <v>0.91</v>
      </c>
      <c r="K225">
        <v>4238</v>
      </c>
      <c r="L225" t="s">
        <v>18</v>
      </c>
    </row>
    <row r="226" spans="1:12" x14ac:dyDescent="0.3">
      <c r="A226">
        <v>20</v>
      </c>
      <c r="B226" t="s">
        <v>74</v>
      </c>
      <c r="C226" t="s">
        <v>75</v>
      </c>
      <c r="D226" t="s">
        <v>32</v>
      </c>
      <c r="E226" t="s">
        <v>76</v>
      </c>
      <c r="F226" t="s">
        <v>77</v>
      </c>
      <c r="G226" s="1">
        <v>45901</v>
      </c>
      <c r="H226">
        <v>384</v>
      </c>
      <c r="I226">
        <v>3</v>
      </c>
      <c r="J226">
        <v>0.88</v>
      </c>
      <c r="K226">
        <v>4532</v>
      </c>
      <c r="L226" t="s">
        <v>17</v>
      </c>
    </row>
    <row r="227" spans="1:12" x14ac:dyDescent="0.3">
      <c r="A227">
        <v>20</v>
      </c>
      <c r="B227" t="s">
        <v>74</v>
      </c>
      <c r="C227" t="s">
        <v>75</v>
      </c>
      <c r="D227" t="s">
        <v>32</v>
      </c>
      <c r="E227" t="s">
        <v>76</v>
      </c>
      <c r="F227" t="s">
        <v>77</v>
      </c>
      <c r="G227" s="1">
        <v>45931</v>
      </c>
      <c r="H227">
        <v>313</v>
      </c>
      <c r="I227">
        <v>10</v>
      </c>
      <c r="J227">
        <v>0.93</v>
      </c>
      <c r="K227">
        <v>3786.5</v>
      </c>
      <c r="L227" t="s">
        <v>18</v>
      </c>
    </row>
    <row r="228" spans="1:12" x14ac:dyDescent="0.3">
      <c r="A228">
        <v>20</v>
      </c>
      <c r="B228" t="s">
        <v>74</v>
      </c>
      <c r="C228" t="s">
        <v>75</v>
      </c>
      <c r="D228" t="s">
        <v>32</v>
      </c>
      <c r="E228" t="s">
        <v>76</v>
      </c>
      <c r="F228" t="s">
        <v>77</v>
      </c>
      <c r="G228" s="1">
        <v>45962</v>
      </c>
      <c r="H228">
        <v>273</v>
      </c>
      <c r="I228">
        <v>8</v>
      </c>
      <c r="J228">
        <v>0.98</v>
      </c>
      <c r="K228">
        <v>3366.5</v>
      </c>
      <c r="L228" t="s">
        <v>18</v>
      </c>
    </row>
    <row r="229" spans="1:12" x14ac:dyDescent="0.3">
      <c r="A229">
        <v>20</v>
      </c>
      <c r="B229" t="s">
        <v>74</v>
      </c>
      <c r="C229" t="s">
        <v>75</v>
      </c>
      <c r="D229" t="s">
        <v>32</v>
      </c>
      <c r="E229" t="s">
        <v>76</v>
      </c>
      <c r="F229" t="s">
        <v>77</v>
      </c>
      <c r="G229" s="1">
        <v>45992</v>
      </c>
      <c r="H229">
        <v>353</v>
      </c>
      <c r="I229">
        <v>4</v>
      </c>
      <c r="J229">
        <v>0.99</v>
      </c>
      <c r="K229">
        <v>4206.5</v>
      </c>
      <c r="L229" t="s">
        <v>18</v>
      </c>
    </row>
    <row r="230" spans="1:12" x14ac:dyDescent="0.3">
      <c r="A230">
        <v>21</v>
      </c>
      <c r="B230" t="s">
        <v>78</v>
      </c>
      <c r="C230" t="s">
        <v>79</v>
      </c>
      <c r="D230" t="s">
        <v>42</v>
      </c>
      <c r="E230" t="s">
        <v>15</v>
      </c>
      <c r="F230" t="s">
        <v>16</v>
      </c>
      <c r="G230" s="1">
        <v>45658</v>
      </c>
      <c r="H230">
        <v>239</v>
      </c>
      <c r="I230">
        <v>4</v>
      </c>
      <c r="J230">
        <v>0.98</v>
      </c>
      <c r="K230">
        <v>1222.2</v>
      </c>
      <c r="L230" t="s">
        <v>18</v>
      </c>
    </row>
    <row r="231" spans="1:12" x14ac:dyDescent="0.3">
      <c r="A231">
        <v>21</v>
      </c>
      <c r="B231" t="s">
        <v>78</v>
      </c>
      <c r="C231" t="s">
        <v>79</v>
      </c>
      <c r="D231" t="s">
        <v>42</v>
      </c>
      <c r="E231" t="s">
        <v>15</v>
      </c>
      <c r="F231" t="s">
        <v>16</v>
      </c>
      <c r="G231" s="1">
        <v>45689</v>
      </c>
      <c r="H231">
        <v>365</v>
      </c>
      <c r="I231">
        <v>2</v>
      </c>
      <c r="J231">
        <v>0.89</v>
      </c>
      <c r="K231">
        <v>1827</v>
      </c>
      <c r="L231" t="s">
        <v>17</v>
      </c>
    </row>
    <row r="232" spans="1:12" x14ac:dyDescent="0.3">
      <c r="A232">
        <v>21</v>
      </c>
      <c r="B232" t="s">
        <v>78</v>
      </c>
      <c r="C232" t="s">
        <v>79</v>
      </c>
      <c r="D232" t="s">
        <v>42</v>
      </c>
      <c r="E232" t="s">
        <v>15</v>
      </c>
      <c r="F232" t="s">
        <v>16</v>
      </c>
      <c r="G232" s="1">
        <v>45717</v>
      </c>
      <c r="H232">
        <v>324</v>
      </c>
      <c r="I232">
        <v>4</v>
      </c>
      <c r="J232">
        <v>0.96</v>
      </c>
      <c r="K232">
        <v>1630.2</v>
      </c>
      <c r="L232" t="s">
        <v>18</v>
      </c>
    </row>
    <row r="233" spans="1:12" x14ac:dyDescent="0.3">
      <c r="A233">
        <v>21</v>
      </c>
      <c r="B233" t="s">
        <v>78</v>
      </c>
      <c r="C233" t="s">
        <v>79</v>
      </c>
      <c r="D233" t="s">
        <v>42</v>
      </c>
      <c r="E233" t="s">
        <v>15</v>
      </c>
      <c r="F233" t="s">
        <v>16</v>
      </c>
      <c r="G233" s="1">
        <v>45748</v>
      </c>
      <c r="H233">
        <v>335</v>
      </c>
      <c r="I233">
        <v>7</v>
      </c>
      <c r="J233">
        <v>0.97</v>
      </c>
      <c r="K233">
        <v>1683</v>
      </c>
      <c r="L233" t="s">
        <v>18</v>
      </c>
    </row>
    <row r="234" spans="1:12" x14ac:dyDescent="0.3">
      <c r="A234">
        <v>21</v>
      </c>
      <c r="B234" t="s">
        <v>78</v>
      </c>
      <c r="C234" t="s">
        <v>79</v>
      </c>
      <c r="D234" t="s">
        <v>42</v>
      </c>
      <c r="E234" t="s">
        <v>15</v>
      </c>
      <c r="F234" t="s">
        <v>16</v>
      </c>
      <c r="G234" s="1">
        <v>45778</v>
      </c>
      <c r="H234">
        <v>310</v>
      </c>
      <c r="I234">
        <v>3</v>
      </c>
      <c r="J234">
        <v>0.99</v>
      </c>
      <c r="K234">
        <v>1563</v>
      </c>
      <c r="L234" t="s">
        <v>17</v>
      </c>
    </row>
    <row r="235" spans="1:12" x14ac:dyDescent="0.3">
      <c r="A235">
        <v>21</v>
      </c>
      <c r="B235" t="s">
        <v>78</v>
      </c>
      <c r="C235" t="s">
        <v>79</v>
      </c>
      <c r="D235" t="s">
        <v>42</v>
      </c>
      <c r="E235" t="s">
        <v>15</v>
      </c>
      <c r="F235" t="s">
        <v>16</v>
      </c>
      <c r="G235" s="1">
        <v>45809</v>
      </c>
      <c r="H235">
        <v>296</v>
      </c>
      <c r="I235">
        <v>5</v>
      </c>
      <c r="J235">
        <v>0.87</v>
      </c>
      <c r="K235">
        <v>1495.8</v>
      </c>
      <c r="L235" t="s">
        <v>18</v>
      </c>
    </row>
    <row r="236" spans="1:12" x14ac:dyDescent="0.3">
      <c r="A236">
        <v>21</v>
      </c>
      <c r="B236" t="s">
        <v>78</v>
      </c>
      <c r="C236" t="s">
        <v>79</v>
      </c>
      <c r="D236" t="s">
        <v>42</v>
      </c>
      <c r="E236" t="s">
        <v>15</v>
      </c>
      <c r="F236" t="s">
        <v>16</v>
      </c>
      <c r="G236" s="1">
        <v>45839</v>
      </c>
      <c r="H236">
        <v>388</v>
      </c>
      <c r="I236">
        <v>5</v>
      </c>
      <c r="J236">
        <v>0.91</v>
      </c>
      <c r="K236">
        <v>1937.4</v>
      </c>
      <c r="L236" t="s">
        <v>18</v>
      </c>
    </row>
    <row r="237" spans="1:12" x14ac:dyDescent="0.3">
      <c r="A237">
        <v>21</v>
      </c>
      <c r="B237" t="s">
        <v>78</v>
      </c>
      <c r="C237" t="s">
        <v>79</v>
      </c>
      <c r="D237" t="s">
        <v>42</v>
      </c>
      <c r="E237" t="s">
        <v>15</v>
      </c>
      <c r="F237" t="s">
        <v>16</v>
      </c>
      <c r="G237" s="1">
        <v>45870</v>
      </c>
      <c r="H237">
        <v>380</v>
      </c>
      <c r="I237">
        <v>5</v>
      </c>
      <c r="J237">
        <v>0.88</v>
      </c>
      <c r="K237">
        <v>1899</v>
      </c>
      <c r="L237" t="s">
        <v>18</v>
      </c>
    </row>
    <row r="238" spans="1:12" x14ac:dyDescent="0.3">
      <c r="A238">
        <v>21</v>
      </c>
      <c r="B238" t="s">
        <v>78</v>
      </c>
      <c r="C238" t="s">
        <v>79</v>
      </c>
      <c r="D238" t="s">
        <v>42</v>
      </c>
      <c r="E238" t="s">
        <v>15</v>
      </c>
      <c r="F238" t="s">
        <v>16</v>
      </c>
      <c r="G238" s="1">
        <v>45901</v>
      </c>
      <c r="H238">
        <v>182</v>
      </c>
      <c r="I238">
        <v>7</v>
      </c>
      <c r="J238">
        <v>0.92</v>
      </c>
      <c r="K238">
        <v>948.6</v>
      </c>
      <c r="L238" t="s">
        <v>18</v>
      </c>
    </row>
    <row r="239" spans="1:12" x14ac:dyDescent="0.3">
      <c r="A239">
        <v>21</v>
      </c>
      <c r="B239" t="s">
        <v>78</v>
      </c>
      <c r="C239" t="s">
        <v>79</v>
      </c>
      <c r="D239" t="s">
        <v>42</v>
      </c>
      <c r="E239" t="s">
        <v>15</v>
      </c>
      <c r="F239" t="s">
        <v>16</v>
      </c>
      <c r="G239" s="1">
        <v>45931</v>
      </c>
      <c r="H239">
        <v>189</v>
      </c>
      <c r="I239">
        <v>8</v>
      </c>
      <c r="J239">
        <v>0.99</v>
      </c>
      <c r="K239">
        <v>982.2</v>
      </c>
      <c r="L239" t="s">
        <v>18</v>
      </c>
    </row>
    <row r="240" spans="1:12" x14ac:dyDescent="0.3">
      <c r="A240">
        <v>21</v>
      </c>
      <c r="B240" t="s">
        <v>78</v>
      </c>
      <c r="C240" t="s">
        <v>79</v>
      </c>
      <c r="D240" t="s">
        <v>42</v>
      </c>
      <c r="E240" t="s">
        <v>15</v>
      </c>
      <c r="F240" t="s">
        <v>16</v>
      </c>
      <c r="G240" s="1">
        <v>45962</v>
      </c>
      <c r="H240">
        <v>346</v>
      </c>
      <c r="I240">
        <v>6</v>
      </c>
      <c r="J240">
        <v>0.87</v>
      </c>
      <c r="K240">
        <v>1735.8</v>
      </c>
      <c r="L240" t="s">
        <v>18</v>
      </c>
    </row>
    <row r="241" spans="1:12" x14ac:dyDescent="0.3">
      <c r="A241">
        <v>21</v>
      </c>
      <c r="B241" t="s">
        <v>78</v>
      </c>
      <c r="C241" t="s">
        <v>79</v>
      </c>
      <c r="D241" t="s">
        <v>42</v>
      </c>
      <c r="E241" t="s">
        <v>15</v>
      </c>
      <c r="F241" t="s">
        <v>16</v>
      </c>
      <c r="G241" s="1">
        <v>45992</v>
      </c>
      <c r="H241">
        <v>242</v>
      </c>
      <c r="I241">
        <v>6</v>
      </c>
      <c r="J241">
        <v>0.97</v>
      </c>
      <c r="K241">
        <v>1236.5999999999999</v>
      </c>
      <c r="L241" t="s">
        <v>18</v>
      </c>
    </row>
    <row r="242" spans="1:12" x14ac:dyDescent="0.3">
      <c r="A242">
        <v>22</v>
      </c>
      <c r="B242" t="s">
        <v>80</v>
      </c>
      <c r="C242" t="s">
        <v>81</v>
      </c>
      <c r="D242" t="s">
        <v>14</v>
      </c>
      <c r="E242" t="s">
        <v>21</v>
      </c>
      <c r="F242" t="s">
        <v>16</v>
      </c>
      <c r="G242" s="1">
        <v>45658</v>
      </c>
      <c r="H242">
        <v>356</v>
      </c>
      <c r="I242">
        <v>6</v>
      </c>
      <c r="J242">
        <v>0.91</v>
      </c>
      <c r="K242">
        <v>2414</v>
      </c>
      <c r="L242" t="s">
        <v>18</v>
      </c>
    </row>
    <row r="243" spans="1:12" x14ac:dyDescent="0.3">
      <c r="A243">
        <v>22</v>
      </c>
      <c r="B243" t="s">
        <v>80</v>
      </c>
      <c r="C243" t="s">
        <v>81</v>
      </c>
      <c r="D243" t="s">
        <v>14</v>
      </c>
      <c r="E243" t="s">
        <v>21</v>
      </c>
      <c r="F243" t="s">
        <v>16</v>
      </c>
      <c r="G243" s="1">
        <v>45689</v>
      </c>
      <c r="H243">
        <v>244</v>
      </c>
      <c r="I243">
        <v>5</v>
      </c>
      <c r="J243">
        <v>0.88</v>
      </c>
      <c r="K243">
        <v>1686</v>
      </c>
      <c r="L243" t="s">
        <v>18</v>
      </c>
    </row>
    <row r="244" spans="1:12" x14ac:dyDescent="0.3">
      <c r="A244">
        <v>22</v>
      </c>
      <c r="B244" t="s">
        <v>80</v>
      </c>
      <c r="C244" t="s">
        <v>81</v>
      </c>
      <c r="D244" t="s">
        <v>14</v>
      </c>
      <c r="E244" t="s">
        <v>21</v>
      </c>
      <c r="F244" t="s">
        <v>16</v>
      </c>
      <c r="G244" s="1">
        <v>45717</v>
      </c>
      <c r="H244">
        <v>396</v>
      </c>
      <c r="I244">
        <v>6</v>
      </c>
      <c r="J244">
        <v>0.96</v>
      </c>
      <c r="K244">
        <v>2674</v>
      </c>
      <c r="L244" t="s">
        <v>18</v>
      </c>
    </row>
    <row r="245" spans="1:12" x14ac:dyDescent="0.3">
      <c r="A245">
        <v>22</v>
      </c>
      <c r="B245" t="s">
        <v>80</v>
      </c>
      <c r="C245" t="s">
        <v>81</v>
      </c>
      <c r="D245" t="s">
        <v>14</v>
      </c>
      <c r="E245" t="s">
        <v>21</v>
      </c>
      <c r="F245" t="s">
        <v>16</v>
      </c>
      <c r="G245" s="1">
        <v>45748</v>
      </c>
      <c r="H245">
        <v>289</v>
      </c>
      <c r="I245">
        <v>10</v>
      </c>
      <c r="J245">
        <v>0.95</v>
      </c>
      <c r="K245">
        <v>1978.5</v>
      </c>
      <c r="L245" t="s">
        <v>18</v>
      </c>
    </row>
    <row r="246" spans="1:12" x14ac:dyDescent="0.3">
      <c r="A246">
        <v>22</v>
      </c>
      <c r="B246" t="s">
        <v>80</v>
      </c>
      <c r="C246" t="s">
        <v>81</v>
      </c>
      <c r="D246" t="s">
        <v>14</v>
      </c>
      <c r="E246" t="s">
        <v>21</v>
      </c>
      <c r="F246" t="s">
        <v>16</v>
      </c>
      <c r="G246" s="1">
        <v>45778</v>
      </c>
      <c r="H246">
        <v>322</v>
      </c>
      <c r="I246">
        <v>5</v>
      </c>
      <c r="J246">
        <v>0.93</v>
      </c>
      <c r="K246">
        <v>2193</v>
      </c>
      <c r="L246" t="s">
        <v>18</v>
      </c>
    </row>
    <row r="247" spans="1:12" x14ac:dyDescent="0.3">
      <c r="A247">
        <v>22</v>
      </c>
      <c r="B247" t="s">
        <v>80</v>
      </c>
      <c r="C247" t="s">
        <v>81</v>
      </c>
      <c r="D247" t="s">
        <v>14</v>
      </c>
      <c r="E247" t="s">
        <v>21</v>
      </c>
      <c r="F247" t="s">
        <v>16</v>
      </c>
      <c r="G247" s="1">
        <v>45809</v>
      </c>
      <c r="H247">
        <v>280</v>
      </c>
      <c r="I247">
        <v>10</v>
      </c>
      <c r="J247">
        <v>0.85</v>
      </c>
      <c r="K247">
        <v>1920</v>
      </c>
      <c r="L247" t="s">
        <v>18</v>
      </c>
    </row>
    <row r="248" spans="1:12" x14ac:dyDescent="0.3">
      <c r="A248">
        <v>22</v>
      </c>
      <c r="B248" t="s">
        <v>80</v>
      </c>
      <c r="C248" t="s">
        <v>81</v>
      </c>
      <c r="D248" t="s">
        <v>14</v>
      </c>
      <c r="E248" t="s">
        <v>21</v>
      </c>
      <c r="F248" t="s">
        <v>16</v>
      </c>
      <c r="G248" s="1">
        <v>45839</v>
      </c>
      <c r="H248">
        <v>181</v>
      </c>
      <c r="I248">
        <v>6</v>
      </c>
      <c r="J248">
        <v>0.91</v>
      </c>
      <c r="K248">
        <v>1276.5</v>
      </c>
      <c r="L248" t="s">
        <v>18</v>
      </c>
    </row>
    <row r="249" spans="1:12" x14ac:dyDescent="0.3">
      <c r="A249">
        <v>22</v>
      </c>
      <c r="B249" t="s">
        <v>80</v>
      </c>
      <c r="C249" t="s">
        <v>81</v>
      </c>
      <c r="D249" t="s">
        <v>14</v>
      </c>
      <c r="E249" t="s">
        <v>21</v>
      </c>
      <c r="F249" t="s">
        <v>16</v>
      </c>
      <c r="G249" s="1">
        <v>45870</v>
      </c>
      <c r="H249">
        <v>240</v>
      </c>
      <c r="I249">
        <v>10</v>
      </c>
      <c r="J249">
        <v>0.98</v>
      </c>
      <c r="K249">
        <v>1660</v>
      </c>
      <c r="L249" t="s">
        <v>18</v>
      </c>
    </row>
    <row r="250" spans="1:12" x14ac:dyDescent="0.3">
      <c r="A250">
        <v>22</v>
      </c>
      <c r="B250" t="s">
        <v>80</v>
      </c>
      <c r="C250" t="s">
        <v>81</v>
      </c>
      <c r="D250" t="s">
        <v>14</v>
      </c>
      <c r="E250" t="s">
        <v>21</v>
      </c>
      <c r="F250" t="s">
        <v>16</v>
      </c>
      <c r="G250" s="1">
        <v>45901</v>
      </c>
      <c r="H250">
        <v>377</v>
      </c>
      <c r="I250">
        <v>2</v>
      </c>
      <c r="J250">
        <v>0.98</v>
      </c>
      <c r="K250">
        <v>2550.5</v>
      </c>
      <c r="L250" t="s">
        <v>18</v>
      </c>
    </row>
    <row r="251" spans="1:12" x14ac:dyDescent="0.3">
      <c r="A251">
        <v>22</v>
      </c>
      <c r="B251" t="s">
        <v>80</v>
      </c>
      <c r="C251" t="s">
        <v>81</v>
      </c>
      <c r="D251" t="s">
        <v>14</v>
      </c>
      <c r="E251" t="s">
        <v>21</v>
      </c>
      <c r="F251" t="s">
        <v>16</v>
      </c>
      <c r="G251" s="1">
        <v>45931</v>
      </c>
      <c r="H251">
        <v>154</v>
      </c>
      <c r="I251">
        <v>5</v>
      </c>
      <c r="J251">
        <v>0.95</v>
      </c>
      <c r="K251">
        <v>1101</v>
      </c>
      <c r="L251" t="s">
        <v>18</v>
      </c>
    </row>
    <row r="252" spans="1:12" x14ac:dyDescent="0.3">
      <c r="A252">
        <v>22</v>
      </c>
      <c r="B252" t="s">
        <v>80</v>
      </c>
      <c r="C252" t="s">
        <v>81</v>
      </c>
      <c r="D252" t="s">
        <v>14</v>
      </c>
      <c r="E252" t="s">
        <v>21</v>
      </c>
      <c r="F252" t="s">
        <v>16</v>
      </c>
      <c r="G252" s="1">
        <v>45962</v>
      </c>
      <c r="H252">
        <v>338</v>
      </c>
      <c r="I252">
        <v>8</v>
      </c>
      <c r="J252">
        <v>0.93</v>
      </c>
      <c r="K252">
        <v>2297</v>
      </c>
      <c r="L252" t="s">
        <v>17</v>
      </c>
    </row>
    <row r="253" spans="1:12" x14ac:dyDescent="0.3">
      <c r="A253">
        <v>22</v>
      </c>
      <c r="B253" t="s">
        <v>80</v>
      </c>
      <c r="C253" t="s">
        <v>81</v>
      </c>
      <c r="D253" t="s">
        <v>14</v>
      </c>
      <c r="E253" t="s">
        <v>21</v>
      </c>
      <c r="F253" t="s">
        <v>16</v>
      </c>
      <c r="G253" s="1">
        <v>45992</v>
      </c>
      <c r="H253">
        <v>176</v>
      </c>
      <c r="I253">
        <v>2</v>
      </c>
      <c r="J253">
        <v>0.94</v>
      </c>
      <c r="K253">
        <v>1244</v>
      </c>
      <c r="L253" t="s">
        <v>18</v>
      </c>
    </row>
    <row r="254" spans="1:12" x14ac:dyDescent="0.3">
      <c r="A254">
        <v>23</v>
      </c>
      <c r="B254" t="s">
        <v>82</v>
      </c>
      <c r="C254" t="s">
        <v>83</v>
      </c>
      <c r="D254" t="s">
        <v>24</v>
      </c>
      <c r="E254" t="s">
        <v>39</v>
      </c>
      <c r="F254" t="s">
        <v>16</v>
      </c>
      <c r="G254" s="1">
        <v>45658</v>
      </c>
      <c r="H254">
        <v>266</v>
      </c>
      <c r="I254">
        <v>3</v>
      </c>
      <c r="J254">
        <v>0.87</v>
      </c>
      <c r="K254">
        <v>2431.1999999999998</v>
      </c>
      <c r="L254" t="s">
        <v>18</v>
      </c>
    </row>
    <row r="255" spans="1:12" x14ac:dyDescent="0.3">
      <c r="A255">
        <v>23</v>
      </c>
      <c r="B255" t="s">
        <v>82</v>
      </c>
      <c r="C255" t="s">
        <v>83</v>
      </c>
      <c r="D255" t="s">
        <v>24</v>
      </c>
      <c r="E255" t="s">
        <v>39</v>
      </c>
      <c r="F255" t="s">
        <v>16</v>
      </c>
      <c r="G255" s="1">
        <v>45689</v>
      </c>
      <c r="H255">
        <v>257</v>
      </c>
      <c r="I255">
        <v>4</v>
      </c>
      <c r="J255">
        <v>0.9</v>
      </c>
      <c r="K255">
        <v>2357.4</v>
      </c>
      <c r="L255" t="s">
        <v>18</v>
      </c>
    </row>
    <row r="256" spans="1:12" x14ac:dyDescent="0.3">
      <c r="A256">
        <v>23</v>
      </c>
      <c r="B256" t="s">
        <v>82</v>
      </c>
      <c r="C256" t="s">
        <v>83</v>
      </c>
      <c r="D256" t="s">
        <v>24</v>
      </c>
      <c r="E256" t="s">
        <v>39</v>
      </c>
      <c r="F256" t="s">
        <v>16</v>
      </c>
      <c r="G256" s="1">
        <v>45717</v>
      </c>
      <c r="H256">
        <v>262</v>
      </c>
      <c r="I256">
        <v>10</v>
      </c>
      <c r="J256">
        <v>0.89</v>
      </c>
      <c r="K256">
        <v>2398.4</v>
      </c>
      <c r="L256" t="s">
        <v>18</v>
      </c>
    </row>
    <row r="257" spans="1:12" x14ac:dyDescent="0.3">
      <c r="A257">
        <v>23</v>
      </c>
      <c r="B257" t="s">
        <v>82</v>
      </c>
      <c r="C257" t="s">
        <v>83</v>
      </c>
      <c r="D257" t="s">
        <v>24</v>
      </c>
      <c r="E257" t="s">
        <v>39</v>
      </c>
      <c r="F257" t="s">
        <v>16</v>
      </c>
      <c r="G257" s="1">
        <v>45748</v>
      </c>
      <c r="H257">
        <v>167</v>
      </c>
      <c r="I257">
        <v>2</v>
      </c>
      <c r="J257">
        <v>0.91</v>
      </c>
      <c r="K257">
        <v>1619.4</v>
      </c>
      <c r="L257" t="s">
        <v>18</v>
      </c>
    </row>
    <row r="258" spans="1:12" x14ac:dyDescent="0.3">
      <c r="A258">
        <v>23</v>
      </c>
      <c r="B258" t="s">
        <v>82</v>
      </c>
      <c r="C258" t="s">
        <v>83</v>
      </c>
      <c r="D258" t="s">
        <v>24</v>
      </c>
      <c r="E258" t="s">
        <v>39</v>
      </c>
      <c r="F258" t="s">
        <v>16</v>
      </c>
      <c r="G258" s="1">
        <v>45778</v>
      </c>
      <c r="H258">
        <v>217</v>
      </c>
      <c r="I258">
        <v>9</v>
      </c>
      <c r="J258">
        <v>0.92</v>
      </c>
      <c r="K258">
        <v>2029.4</v>
      </c>
      <c r="L258" t="s">
        <v>18</v>
      </c>
    </row>
    <row r="259" spans="1:12" x14ac:dyDescent="0.3">
      <c r="A259">
        <v>23</v>
      </c>
      <c r="B259" t="s">
        <v>82</v>
      </c>
      <c r="C259" t="s">
        <v>83</v>
      </c>
      <c r="D259" t="s">
        <v>24</v>
      </c>
      <c r="E259" t="s">
        <v>39</v>
      </c>
      <c r="F259" t="s">
        <v>16</v>
      </c>
      <c r="G259" s="1">
        <v>45809</v>
      </c>
      <c r="H259">
        <v>280</v>
      </c>
      <c r="I259">
        <v>10</v>
      </c>
      <c r="J259">
        <v>0.93</v>
      </c>
      <c r="K259">
        <v>2546</v>
      </c>
      <c r="L259" t="s">
        <v>17</v>
      </c>
    </row>
    <row r="260" spans="1:12" x14ac:dyDescent="0.3">
      <c r="A260">
        <v>23</v>
      </c>
      <c r="B260" t="s">
        <v>82</v>
      </c>
      <c r="C260" t="s">
        <v>83</v>
      </c>
      <c r="D260" t="s">
        <v>24</v>
      </c>
      <c r="E260" t="s">
        <v>39</v>
      </c>
      <c r="F260" t="s">
        <v>16</v>
      </c>
      <c r="G260" s="1">
        <v>45839</v>
      </c>
      <c r="H260">
        <v>326</v>
      </c>
      <c r="I260">
        <v>2</v>
      </c>
      <c r="J260">
        <v>0.94</v>
      </c>
      <c r="K260">
        <v>2923.2</v>
      </c>
      <c r="L260" t="s">
        <v>17</v>
      </c>
    </row>
    <row r="261" spans="1:12" x14ac:dyDescent="0.3">
      <c r="A261">
        <v>23</v>
      </c>
      <c r="B261" t="s">
        <v>82</v>
      </c>
      <c r="C261" t="s">
        <v>83</v>
      </c>
      <c r="D261" t="s">
        <v>24</v>
      </c>
      <c r="E261" t="s">
        <v>39</v>
      </c>
      <c r="F261" t="s">
        <v>16</v>
      </c>
      <c r="G261" s="1">
        <v>45870</v>
      </c>
      <c r="H261">
        <v>223</v>
      </c>
      <c r="I261">
        <v>6</v>
      </c>
      <c r="J261">
        <v>0.99</v>
      </c>
      <c r="K261">
        <v>2078.6</v>
      </c>
      <c r="L261" t="s">
        <v>17</v>
      </c>
    </row>
    <row r="262" spans="1:12" x14ac:dyDescent="0.3">
      <c r="A262">
        <v>23</v>
      </c>
      <c r="B262" t="s">
        <v>82</v>
      </c>
      <c r="C262" t="s">
        <v>83</v>
      </c>
      <c r="D262" t="s">
        <v>24</v>
      </c>
      <c r="E262" t="s">
        <v>39</v>
      </c>
      <c r="F262" t="s">
        <v>16</v>
      </c>
      <c r="G262" s="1">
        <v>45901</v>
      </c>
      <c r="H262">
        <v>273</v>
      </c>
      <c r="I262">
        <v>5</v>
      </c>
      <c r="J262">
        <v>0.86</v>
      </c>
      <c r="K262">
        <v>2488.6</v>
      </c>
      <c r="L262" t="s">
        <v>17</v>
      </c>
    </row>
    <row r="263" spans="1:12" x14ac:dyDescent="0.3">
      <c r="A263">
        <v>23</v>
      </c>
      <c r="B263" t="s">
        <v>82</v>
      </c>
      <c r="C263" t="s">
        <v>83</v>
      </c>
      <c r="D263" t="s">
        <v>24</v>
      </c>
      <c r="E263" t="s">
        <v>39</v>
      </c>
      <c r="F263" t="s">
        <v>16</v>
      </c>
      <c r="G263" s="1">
        <v>45931</v>
      </c>
      <c r="H263">
        <v>393</v>
      </c>
      <c r="I263">
        <v>2</v>
      </c>
      <c r="J263">
        <v>0.93</v>
      </c>
      <c r="K263">
        <v>3472.6</v>
      </c>
      <c r="L263" t="s">
        <v>18</v>
      </c>
    </row>
    <row r="264" spans="1:12" x14ac:dyDescent="0.3">
      <c r="A264">
        <v>23</v>
      </c>
      <c r="B264" t="s">
        <v>82</v>
      </c>
      <c r="C264" t="s">
        <v>83</v>
      </c>
      <c r="D264" t="s">
        <v>24</v>
      </c>
      <c r="E264" t="s">
        <v>39</v>
      </c>
      <c r="F264" t="s">
        <v>16</v>
      </c>
      <c r="G264" s="1">
        <v>45962</v>
      </c>
      <c r="H264">
        <v>214</v>
      </c>
      <c r="I264">
        <v>8</v>
      </c>
      <c r="J264">
        <v>0.91</v>
      </c>
      <c r="K264">
        <v>2004.8</v>
      </c>
      <c r="L264" t="s">
        <v>18</v>
      </c>
    </row>
    <row r="265" spans="1:12" x14ac:dyDescent="0.3">
      <c r="A265">
        <v>23</v>
      </c>
      <c r="B265" t="s">
        <v>82</v>
      </c>
      <c r="C265" t="s">
        <v>83</v>
      </c>
      <c r="D265" t="s">
        <v>24</v>
      </c>
      <c r="E265" t="s">
        <v>39</v>
      </c>
      <c r="F265" t="s">
        <v>16</v>
      </c>
      <c r="G265" s="1">
        <v>45992</v>
      </c>
      <c r="H265">
        <v>305</v>
      </c>
      <c r="I265">
        <v>6</v>
      </c>
      <c r="J265">
        <v>0.91</v>
      </c>
      <c r="K265">
        <v>2751</v>
      </c>
      <c r="L265" t="s">
        <v>18</v>
      </c>
    </row>
    <row r="266" spans="1:12" x14ac:dyDescent="0.3">
      <c r="A266">
        <v>24</v>
      </c>
      <c r="B266" t="s">
        <v>84</v>
      </c>
      <c r="C266" t="s">
        <v>85</v>
      </c>
      <c r="D266" t="s">
        <v>32</v>
      </c>
      <c r="E266" t="s">
        <v>25</v>
      </c>
      <c r="F266" t="s">
        <v>26</v>
      </c>
      <c r="G266" s="1">
        <v>45658</v>
      </c>
      <c r="H266">
        <v>161</v>
      </c>
      <c r="I266">
        <v>2</v>
      </c>
      <c r="J266">
        <v>0.88</v>
      </c>
      <c r="K266">
        <v>2190.5</v>
      </c>
      <c r="L266" t="s">
        <v>18</v>
      </c>
    </row>
    <row r="267" spans="1:12" x14ac:dyDescent="0.3">
      <c r="A267">
        <v>24</v>
      </c>
      <c r="B267" t="s">
        <v>84</v>
      </c>
      <c r="C267" t="s">
        <v>85</v>
      </c>
      <c r="D267" t="s">
        <v>32</v>
      </c>
      <c r="E267" t="s">
        <v>25</v>
      </c>
      <c r="F267" t="s">
        <v>26</v>
      </c>
      <c r="G267" s="1">
        <v>45689</v>
      </c>
      <c r="H267">
        <v>356</v>
      </c>
      <c r="I267">
        <v>2</v>
      </c>
      <c r="J267">
        <v>0.92</v>
      </c>
      <c r="K267">
        <v>4238</v>
      </c>
      <c r="L267" t="s">
        <v>18</v>
      </c>
    </row>
    <row r="268" spans="1:12" x14ac:dyDescent="0.3">
      <c r="A268">
        <v>24</v>
      </c>
      <c r="B268" t="s">
        <v>84</v>
      </c>
      <c r="C268" t="s">
        <v>85</v>
      </c>
      <c r="D268" t="s">
        <v>32</v>
      </c>
      <c r="E268" t="s">
        <v>25</v>
      </c>
      <c r="F268" t="s">
        <v>26</v>
      </c>
      <c r="G268" s="1">
        <v>45717</v>
      </c>
      <c r="H268">
        <v>340</v>
      </c>
      <c r="I268">
        <v>4</v>
      </c>
      <c r="J268">
        <v>0.99</v>
      </c>
      <c r="K268">
        <v>4070</v>
      </c>
      <c r="L268" t="s">
        <v>18</v>
      </c>
    </row>
    <row r="269" spans="1:12" x14ac:dyDescent="0.3">
      <c r="A269">
        <v>24</v>
      </c>
      <c r="B269" t="s">
        <v>84</v>
      </c>
      <c r="C269" t="s">
        <v>85</v>
      </c>
      <c r="D269" t="s">
        <v>32</v>
      </c>
      <c r="E269" t="s">
        <v>25</v>
      </c>
      <c r="F269" t="s">
        <v>26</v>
      </c>
      <c r="G269" s="1">
        <v>45748</v>
      </c>
      <c r="H269">
        <v>369</v>
      </c>
      <c r="I269">
        <v>8</v>
      </c>
      <c r="J269">
        <v>0.94</v>
      </c>
      <c r="K269">
        <v>4374.5</v>
      </c>
      <c r="L269" t="s">
        <v>18</v>
      </c>
    </row>
    <row r="270" spans="1:12" x14ac:dyDescent="0.3">
      <c r="A270">
        <v>24</v>
      </c>
      <c r="B270" t="s">
        <v>84</v>
      </c>
      <c r="C270" t="s">
        <v>85</v>
      </c>
      <c r="D270" t="s">
        <v>32</v>
      </c>
      <c r="E270" t="s">
        <v>25</v>
      </c>
      <c r="F270" t="s">
        <v>26</v>
      </c>
      <c r="G270" s="1">
        <v>45778</v>
      </c>
      <c r="H270">
        <v>258</v>
      </c>
      <c r="I270">
        <v>3</v>
      </c>
      <c r="J270">
        <v>0.89</v>
      </c>
      <c r="K270">
        <v>3209</v>
      </c>
      <c r="L270" t="s">
        <v>17</v>
      </c>
    </row>
    <row r="271" spans="1:12" x14ac:dyDescent="0.3">
      <c r="A271">
        <v>24</v>
      </c>
      <c r="B271" t="s">
        <v>84</v>
      </c>
      <c r="C271" t="s">
        <v>85</v>
      </c>
      <c r="D271" t="s">
        <v>32</v>
      </c>
      <c r="E271" t="s">
        <v>25</v>
      </c>
      <c r="F271" t="s">
        <v>26</v>
      </c>
      <c r="G271" s="1">
        <v>45809</v>
      </c>
      <c r="H271">
        <v>265</v>
      </c>
      <c r="I271">
        <v>10</v>
      </c>
      <c r="J271">
        <v>0.87</v>
      </c>
      <c r="K271">
        <v>3282.5</v>
      </c>
      <c r="L271" t="s">
        <v>18</v>
      </c>
    </row>
    <row r="272" spans="1:12" x14ac:dyDescent="0.3">
      <c r="A272">
        <v>24</v>
      </c>
      <c r="B272" t="s">
        <v>84</v>
      </c>
      <c r="C272" t="s">
        <v>85</v>
      </c>
      <c r="D272" t="s">
        <v>32</v>
      </c>
      <c r="E272" t="s">
        <v>25</v>
      </c>
      <c r="F272" t="s">
        <v>26</v>
      </c>
      <c r="G272" s="1">
        <v>45839</v>
      </c>
      <c r="H272">
        <v>235</v>
      </c>
      <c r="I272">
        <v>8</v>
      </c>
      <c r="J272">
        <v>0.86</v>
      </c>
      <c r="K272">
        <v>2967.5</v>
      </c>
      <c r="L272" t="s">
        <v>18</v>
      </c>
    </row>
    <row r="273" spans="1:12" x14ac:dyDescent="0.3">
      <c r="A273">
        <v>24</v>
      </c>
      <c r="B273" t="s">
        <v>84</v>
      </c>
      <c r="C273" t="s">
        <v>85</v>
      </c>
      <c r="D273" t="s">
        <v>32</v>
      </c>
      <c r="E273" t="s">
        <v>25</v>
      </c>
      <c r="F273" t="s">
        <v>26</v>
      </c>
      <c r="G273" s="1">
        <v>45870</v>
      </c>
      <c r="H273">
        <v>393</v>
      </c>
      <c r="I273">
        <v>7</v>
      </c>
      <c r="J273">
        <v>0.88</v>
      </c>
      <c r="K273">
        <v>4626.5</v>
      </c>
      <c r="L273" t="s">
        <v>18</v>
      </c>
    </row>
    <row r="274" spans="1:12" x14ac:dyDescent="0.3">
      <c r="A274">
        <v>24</v>
      </c>
      <c r="B274" t="s">
        <v>84</v>
      </c>
      <c r="C274" t="s">
        <v>85</v>
      </c>
      <c r="D274" t="s">
        <v>32</v>
      </c>
      <c r="E274" t="s">
        <v>25</v>
      </c>
      <c r="F274" t="s">
        <v>26</v>
      </c>
      <c r="G274" s="1">
        <v>45901</v>
      </c>
      <c r="H274">
        <v>264</v>
      </c>
      <c r="I274">
        <v>4</v>
      </c>
      <c r="J274">
        <v>0.92</v>
      </c>
      <c r="K274">
        <v>3272</v>
      </c>
      <c r="L274" t="s">
        <v>18</v>
      </c>
    </row>
    <row r="275" spans="1:12" x14ac:dyDescent="0.3">
      <c r="A275">
        <v>24</v>
      </c>
      <c r="B275" t="s">
        <v>84</v>
      </c>
      <c r="C275" t="s">
        <v>85</v>
      </c>
      <c r="D275" t="s">
        <v>32</v>
      </c>
      <c r="E275" t="s">
        <v>25</v>
      </c>
      <c r="F275" t="s">
        <v>26</v>
      </c>
      <c r="G275" s="1">
        <v>45931</v>
      </c>
      <c r="H275">
        <v>364</v>
      </c>
      <c r="I275">
        <v>10</v>
      </c>
      <c r="J275">
        <v>0.86</v>
      </c>
      <c r="K275">
        <v>4322</v>
      </c>
      <c r="L275" t="s">
        <v>18</v>
      </c>
    </row>
    <row r="276" spans="1:12" x14ac:dyDescent="0.3">
      <c r="A276">
        <v>24</v>
      </c>
      <c r="B276" t="s">
        <v>84</v>
      </c>
      <c r="C276" t="s">
        <v>85</v>
      </c>
      <c r="D276" t="s">
        <v>32</v>
      </c>
      <c r="E276" t="s">
        <v>25</v>
      </c>
      <c r="F276" t="s">
        <v>26</v>
      </c>
      <c r="G276" s="1">
        <v>45962</v>
      </c>
      <c r="H276">
        <v>378</v>
      </c>
      <c r="I276">
        <v>4</v>
      </c>
      <c r="J276">
        <v>0.89</v>
      </c>
      <c r="K276">
        <v>4469</v>
      </c>
      <c r="L276" t="s">
        <v>18</v>
      </c>
    </row>
    <row r="277" spans="1:12" x14ac:dyDescent="0.3">
      <c r="A277">
        <v>24</v>
      </c>
      <c r="B277" t="s">
        <v>84</v>
      </c>
      <c r="C277" t="s">
        <v>85</v>
      </c>
      <c r="D277" t="s">
        <v>32</v>
      </c>
      <c r="E277" t="s">
        <v>25</v>
      </c>
      <c r="F277" t="s">
        <v>26</v>
      </c>
      <c r="G277" s="1">
        <v>45992</v>
      </c>
      <c r="H277">
        <v>327</v>
      </c>
      <c r="I277">
        <v>6</v>
      </c>
      <c r="J277">
        <v>0.96</v>
      </c>
      <c r="K277">
        <v>3933.5</v>
      </c>
      <c r="L277" t="s">
        <v>18</v>
      </c>
    </row>
    <row r="278" spans="1:12" x14ac:dyDescent="0.3">
      <c r="A278">
        <v>25</v>
      </c>
      <c r="B278" t="s">
        <v>86</v>
      </c>
      <c r="C278" t="s">
        <v>87</v>
      </c>
      <c r="D278" t="s">
        <v>42</v>
      </c>
      <c r="E278" t="s">
        <v>29</v>
      </c>
      <c r="F278" t="s">
        <v>26</v>
      </c>
      <c r="G278" s="1">
        <v>45658</v>
      </c>
      <c r="H278">
        <v>215</v>
      </c>
      <c r="I278">
        <v>8</v>
      </c>
      <c r="J278">
        <v>0.9</v>
      </c>
      <c r="K278">
        <v>1107</v>
      </c>
      <c r="L278" t="s">
        <v>18</v>
      </c>
    </row>
    <row r="279" spans="1:12" x14ac:dyDescent="0.3">
      <c r="A279">
        <v>25</v>
      </c>
      <c r="B279" t="s">
        <v>86</v>
      </c>
      <c r="C279" t="s">
        <v>87</v>
      </c>
      <c r="D279" t="s">
        <v>42</v>
      </c>
      <c r="E279" t="s">
        <v>29</v>
      </c>
      <c r="F279" t="s">
        <v>26</v>
      </c>
      <c r="G279" s="1">
        <v>45689</v>
      </c>
      <c r="H279">
        <v>176</v>
      </c>
      <c r="I279">
        <v>6</v>
      </c>
      <c r="J279">
        <v>0.86</v>
      </c>
      <c r="K279">
        <v>919.8</v>
      </c>
      <c r="L279" t="s">
        <v>18</v>
      </c>
    </row>
    <row r="280" spans="1:12" x14ac:dyDescent="0.3">
      <c r="A280">
        <v>25</v>
      </c>
      <c r="B280" t="s">
        <v>86</v>
      </c>
      <c r="C280" t="s">
        <v>87</v>
      </c>
      <c r="D280" t="s">
        <v>42</v>
      </c>
      <c r="E280" t="s">
        <v>29</v>
      </c>
      <c r="F280" t="s">
        <v>26</v>
      </c>
      <c r="G280" s="1">
        <v>45717</v>
      </c>
      <c r="H280">
        <v>232</v>
      </c>
      <c r="I280">
        <v>4</v>
      </c>
      <c r="J280">
        <v>0.96</v>
      </c>
      <c r="K280">
        <v>1188.5999999999999</v>
      </c>
      <c r="L280" t="s">
        <v>17</v>
      </c>
    </row>
    <row r="281" spans="1:12" x14ac:dyDescent="0.3">
      <c r="A281">
        <v>25</v>
      </c>
      <c r="B281" t="s">
        <v>86</v>
      </c>
      <c r="C281" t="s">
        <v>87</v>
      </c>
      <c r="D281" t="s">
        <v>42</v>
      </c>
      <c r="E281" t="s">
        <v>29</v>
      </c>
      <c r="F281" t="s">
        <v>26</v>
      </c>
      <c r="G281" s="1">
        <v>45748</v>
      </c>
      <c r="H281">
        <v>317</v>
      </c>
      <c r="I281">
        <v>9</v>
      </c>
      <c r="J281">
        <v>0.85</v>
      </c>
      <c r="K281">
        <v>1596.6</v>
      </c>
      <c r="L281" t="s">
        <v>18</v>
      </c>
    </row>
    <row r="282" spans="1:12" x14ac:dyDescent="0.3">
      <c r="A282">
        <v>25</v>
      </c>
      <c r="B282" t="s">
        <v>86</v>
      </c>
      <c r="C282" t="s">
        <v>87</v>
      </c>
      <c r="D282" t="s">
        <v>42</v>
      </c>
      <c r="E282" t="s">
        <v>29</v>
      </c>
      <c r="F282" t="s">
        <v>26</v>
      </c>
      <c r="G282" s="1">
        <v>45778</v>
      </c>
      <c r="H282">
        <v>163</v>
      </c>
      <c r="I282">
        <v>4</v>
      </c>
      <c r="J282">
        <v>0.89</v>
      </c>
      <c r="K282">
        <v>857.4</v>
      </c>
      <c r="L282" t="s">
        <v>18</v>
      </c>
    </row>
    <row r="283" spans="1:12" x14ac:dyDescent="0.3">
      <c r="A283">
        <v>25</v>
      </c>
      <c r="B283" t="s">
        <v>86</v>
      </c>
      <c r="C283" t="s">
        <v>87</v>
      </c>
      <c r="D283" t="s">
        <v>42</v>
      </c>
      <c r="E283" t="s">
        <v>29</v>
      </c>
      <c r="F283" t="s">
        <v>26</v>
      </c>
      <c r="G283" s="1">
        <v>45809</v>
      </c>
      <c r="H283">
        <v>222</v>
      </c>
      <c r="I283">
        <v>2</v>
      </c>
      <c r="J283">
        <v>0.89</v>
      </c>
      <c r="K283">
        <v>1140.5999999999999</v>
      </c>
      <c r="L283" t="s">
        <v>18</v>
      </c>
    </row>
    <row r="284" spans="1:12" x14ac:dyDescent="0.3">
      <c r="A284">
        <v>25</v>
      </c>
      <c r="B284" t="s">
        <v>86</v>
      </c>
      <c r="C284" t="s">
        <v>87</v>
      </c>
      <c r="D284" t="s">
        <v>42</v>
      </c>
      <c r="E284" t="s">
        <v>29</v>
      </c>
      <c r="F284" t="s">
        <v>26</v>
      </c>
      <c r="G284" s="1">
        <v>45839</v>
      </c>
      <c r="H284">
        <v>241</v>
      </c>
      <c r="I284">
        <v>9</v>
      </c>
      <c r="J284">
        <v>0.92</v>
      </c>
      <c r="K284">
        <v>1231.8</v>
      </c>
      <c r="L284" t="s">
        <v>18</v>
      </c>
    </row>
    <row r="285" spans="1:12" x14ac:dyDescent="0.3">
      <c r="A285">
        <v>25</v>
      </c>
      <c r="B285" t="s">
        <v>86</v>
      </c>
      <c r="C285" t="s">
        <v>87</v>
      </c>
      <c r="D285" t="s">
        <v>42</v>
      </c>
      <c r="E285" t="s">
        <v>29</v>
      </c>
      <c r="F285" t="s">
        <v>26</v>
      </c>
      <c r="G285" s="1">
        <v>45870</v>
      </c>
      <c r="H285">
        <v>318</v>
      </c>
      <c r="I285">
        <v>9</v>
      </c>
      <c r="J285">
        <v>0.88</v>
      </c>
      <c r="K285">
        <v>1601.4</v>
      </c>
      <c r="L285" t="s">
        <v>18</v>
      </c>
    </row>
    <row r="286" spans="1:12" x14ac:dyDescent="0.3">
      <c r="A286">
        <v>25</v>
      </c>
      <c r="B286" t="s">
        <v>86</v>
      </c>
      <c r="C286" t="s">
        <v>87</v>
      </c>
      <c r="D286" t="s">
        <v>42</v>
      </c>
      <c r="E286" t="s">
        <v>29</v>
      </c>
      <c r="F286" t="s">
        <v>26</v>
      </c>
      <c r="G286" s="1">
        <v>45901</v>
      </c>
      <c r="H286">
        <v>175</v>
      </c>
      <c r="I286">
        <v>2</v>
      </c>
      <c r="J286">
        <v>0.99</v>
      </c>
      <c r="K286">
        <v>915</v>
      </c>
      <c r="L286" t="s">
        <v>18</v>
      </c>
    </row>
    <row r="287" spans="1:12" x14ac:dyDescent="0.3">
      <c r="A287">
        <v>25</v>
      </c>
      <c r="B287" t="s">
        <v>86</v>
      </c>
      <c r="C287" t="s">
        <v>87</v>
      </c>
      <c r="D287" t="s">
        <v>42</v>
      </c>
      <c r="E287" t="s">
        <v>29</v>
      </c>
      <c r="F287" t="s">
        <v>26</v>
      </c>
      <c r="G287" s="1">
        <v>45931</v>
      </c>
      <c r="H287">
        <v>308</v>
      </c>
      <c r="I287">
        <v>10</v>
      </c>
      <c r="J287">
        <v>0.9</v>
      </c>
      <c r="K287">
        <v>1553.4</v>
      </c>
      <c r="L287" t="s">
        <v>18</v>
      </c>
    </row>
    <row r="288" spans="1:12" x14ac:dyDescent="0.3">
      <c r="A288">
        <v>25</v>
      </c>
      <c r="B288" t="s">
        <v>86</v>
      </c>
      <c r="C288" t="s">
        <v>87</v>
      </c>
      <c r="D288" t="s">
        <v>42</v>
      </c>
      <c r="E288" t="s">
        <v>29</v>
      </c>
      <c r="F288" t="s">
        <v>26</v>
      </c>
      <c r="G288" s="1">
        <v>45962</v>
      </c>
      <c r="H288">
        <v>306</v>
      </c>
      <c r="I288">
        <v>6</v>
      </c>
      <c r="J288">
        <v>0.94</v>
      </c>
      <c r="K288">
        <v>1543.8</v>
      </c>
      <c r="L288" t="s">
        <v>18</v>
      </c>
    </row>
    <row r="289" spans="1:12" x14ac:dyDescent="0.3">
      <c r="A289">
        <v>25</v>
      </c>
      <c r="B289" t="s">
        <v>86</v>
      </c>
      <c r="C289" t="s">
        <v>87</v>
      </c>
      <c r="D289" t="s">
        <v>42</v>
      </c>
      <c r="E289" t="s">
        <v>29</v>
      </c>
      <c r="F289" t="s">
        <v>26</v>
      </c>
      <c r="G289" s="1">
        <v>45992</v>
      </c>
      <c r="H289">
        <v>249</v>
      </c>
      <c r="I289">
        <v>8</v>
      </c>
      <c r="J289">
        <v>0.94</v>
      </c>
      <c r="K289">
        <v>1270.2</v>
      </c>
      <c r="L289" t="s">
        <v>17</v>
      </c>
    </row>
    <row r="290" spans="1:12" x14ac:dyDescent="0.3">
      <c r="A290">
        <v>26</v>
      </c>
      <c r="B290" t="s">
        <v>88</v>
      </c>
      <c r="C290" t="s">
        <v>89</v>
      </c>
      <c r="D290" t="s">
        <v>14</v>
      </c>
      <c r="E290" t="s">
        <v>47</v>
      </c>
      <c r="F290" t="s">
        <v>26</v>
      </c>
      <c r="G290" s="1">
        <v>45658</v>
      </c>
      <c r="H290">
        <v>187</v>
      </c>
      <c r="I290">
        <v>8</v>
      </c>
      <c r="J290">
        <v>0.99</v>
      </c>
      <c r="K290">
        <v>1315.5</v>
      </c>
      <c r="L290" t="s">
        <v>18</v>
      </c>
    </row>
    <row r="291" spans="1:12" x14ac:dyDescent="0.3">
      <c r="A291">
        <v>26</v>
      </c>
      <c r="B291" t="s">
        <v>88</v>
      </c>
      <c r="C291" t="s">
        <v>89</v>
      </c>
      <c r="D291" t="s">
        <v>14</v>
      </c>
      <c r="E291" t="s">
        <v>47</v>
      </c>
      <c r="F291" t="s">
        <v>26</v>
      </c>
      <c r="G291" s="1">
        <v>45689</v>
      </c>
      <c r="H291">
        <v>378</v>
      </c>
      <c r="I291">
        <v>10</v>
      </c>
      <c r="J291">
        <v>0.88</v>
      </c>
      <c r="K291">
        <v>2557</v>
      </c>
      <c r="L291" t="s">
        <v>18</v>
      </c>
    </row>
    <row r="292" spans="1:12" x14ac:dyDescent="0.3">
      <c r="A292">
        <v>26</v>
      </c>
      <c r="B292" t="s">
        <v>88</v>
      </c>
      <c r="C292" t="s">
        <v>89</v>
      </c>
      <c r="D292" t="s">
        <v>14</v>
      </c>
      <c r="E292" t="s">
        <v>47</v>
      </c>
      <c r="F292" t="s">
        <v>26</v>
      </c>
      <c r="G292" s="1">
        <v>45717</v>
      </c>
      <c r="H292">
        <v>332</v>
      </c>
      <c r="I292">
        <v>6</v>
      </c>
      <c r="J292">
        <v>0.9</v>
      </c>
      <c r="K292">
        <v>2258</v>
      </c>
      <c r="L292" t="s">
        <v>18</v>
      </c>
    </row>
    <row r="293" spans="1:12" x14ac:dyDescent="0.3">
      <c r="A293">
        <v>26</v>
      </c>
      <c r="B293" t="s">
        <v>88</v>
      </c>
      <c r="C293" t="s">
        <v>89</v>
      </c>
      <c r="D293" t="s">
        <v>14</v>
      </c>
      <c r="E293" t="s">
        <v>47</v>
      </c>
      <c r="F293" t="s">
        <v>26</v>
      </c>
      <c r="G293" s="1">
        <v>45748</v>
      </c>
      <c r="H293">
        <v>383</v>
      </c>
      <c r="I293">
        <v>8</v>
      </c>
      <c r="J293">
        <v>0.97</v>
      </c>
      <c r="K293">
        <v>2589.5</v>
      </c>
      <c r="L293" t="s">
        <v>18</v>
      </c>
    </row>
    <row r="294" spans="1:12" x14ac:dyDescent="0.3">
      <c r="A294">
        <v>26</v>
      </c>
      <c r="B294" t="s">
        <v>88</v>
      </c>
      <c r="C294" t="s">
        <v>89</v>
      </c>
      <c r="D294" t="s">
        <v>14</v>
      </c>
      <c r="E294" t="s">
        <v>47</v>
      </c>
      <c r="F294" t="s">
        <v>26</v>
      </c>
      <c r="G294" s="1">
        <v>45778</v>
      </c>
      <c r="H294">
        <v>253</v>
      </c>
      <c r="I294">
        <v>2</v>
      </c>
      <c r="J294">
        <v>0.97</v>
      </c>
      <c r="K294">
        <v>1744.5</v>
      </c>
      <c r="L294" t="s">
        <v>17</v>
      </c>
    </row>
    <row r="295" spans="1:12" x14ac:dyDescent="0.3">
      <c r="A295">
        <v>26</v>
      </c>
      <c r="B295" t="s">
        <v>88</v>
      </c>
      <c r="C295" t="s">
        <v>89</v>
      </c>
      <c r="D295" t="s">
        <v>14</v>
      </c>
      <c r="E295" t="s">
        <v>47</v>
      </c>
      <c r="F295" t="s">
        <v>26</v>
      </c>
      <c r="G295" s="1">
        <v>45809</v>
      </c>
      <c r="H295">
        <v>329</v>
      </c>
      <c r="I295">
        <v>5</v>
      </c>
      <c r="J295">
        <v>0.89</v>
      </c>
      <c r="K295">
        <v>2238.5</v>
      </c>
      <c r="L295" t="s">
        <v>18</v>
      </c>
    </row>
    <row r="296" spans="1:12" x14ac:dyDescent="0.3">
      <c r="A296">
        <v>26</v>
      </c>
      <c r="B296" t="s">
        <v>88</v>
      </c>
      <c r="C296" t="s">
        <v>89</v>
      </c>
      <c r="D296" t="s">
        <v>14</v>
      </c>
      <c r="E296" t="s">
        <v>47</v>
      </c>
      <c r="F296" t="s">
        <v>26</v>
      </c>
      <c r="G296" s="1">
        <v>45839</v>
      </c>
      <c r="H296">
        <v>296</v>
      </c>
      <c r="I296">
        <v>10</v>
      </c>
      <c r="J296">
        <v>0.88</v>
      </c>
      <c r="K296">
        <v>2024</v>
      </c>
      <c r="L296" t="s">
        <v>18</v>
      </c>
    </row>
    <row r="297" spans="1:12" x14ac:dyDescent="0.3">
      <c r="A297">
        <v>26</v>
      </c>
      <c r="B297" t="s">
        <v>88</v>
      </c>
      <c r="C297" t="s">
        <v>89</v>
      </c>
      <c r="D297" t="s">
        <v>14</v>
      </c>
      <c r="E297" t="s">
        <v>47</v>
      </c>
      <c r="F297" t="s">
        <v>26</v>
      </c>
      <c r="G297" s="1">
        <v>45870</v>
      </c>
      <c r="H297">
        <v>167</v>
      </c>
      <c r="I297">
        <v>3</v>
      </c>
      <c r="J297">
        <v>0.87</v>
      </c>
      <c r="K297">
        <v>1185.5</v>
      </c>
      <c r="L297" t="s">
        <v>17</v>
      </c>
    </row>
    <row r="298" spans="1:12" x14ac:dyDescent="0.3">
      <c r="A298">
        <v>26</v>
      </c>
      <c r="B298" t="s">
        <v>88</v>
      </c>
      <c r="C298" t="s">
        <v>89</v>
      </c>
      <c r="D298" t="s">
        <v>14</v>
      </c>
      <c r="E298" t="s">
        <v>47</v>
      </c>
      <c r="F298" t="s">
        <v>26</v>
      </c>
      <c r="G298" s="1">
        <v>45901</v>
      </c>
      <c r="H298">
        <v>351</v>
      </c>
      <c r="I298">
        <v>7</v>
      </c>
      <c r="J298">
        <v>0.85</v>
      </c>
      <c r="K298">
        <v>2381.5</v>
      </c>
      <c r="L298" t="s">
        <v>18</v>
      </c>
    </row>
    <row r="299" spans="1:12" x14ac:dyDescent="0.3">
      <c r="A299">
        <v>26</v>
      </c>
      <c r="B299" t="s">
        <v>88</v>
      </c>
      <c r="C299" t="s">
        <v>89</v>
      </c>
      <c r="D299" t="s">
        <v>14</v>
      </c>
      <c r="E299" t="s">
        <v>47</v>
      </c>
      <c r="F299" t="s">
        <v>26</v>
      </c>
      <c r="G299" s="1">
        <v>45931</v>
      </c>
      <c r="H299">
        <v>328</v>
      </c>
      <c r="I299">
        <v>4</v>
      </c>
      <c r="J299">
        <v>0.85</v>
      </c>
      <c r="K299">
        <v>2232</v>
      </c>
      <c r="L299" t="s">
        <v>17</v>
      </c>
    </row>
    <row r="300" spans="1:12" x14ac:dyDescent="0.3">
      <c r="A300">
        <v>26</v>
      </c>
      <c r="B300" t="s">
        <v>88</v>
      </c>
      <c r="C300" t="s">
        <v>89</v>
      </c>
      <c r="D300" t="s">
        <v>14</v>
      </c>
      <c r="E300" t="s">
        <v>47</v>
      </c>
      <c r="F300" t="s">
        <v>26</v>
      </c>
      <c r="G300" s="1">
        <v>45962</v>
      </c>
      <c r="H300">
        <v>361</v>
      </c>
      <c r="I300">
        <v>10</v>
      </c>
      <c r="J300">
        <v>0.96</v>
      </c>
      <c r="K300">
        <v>2446.5</v>
      </c>
      <c r="L300" t="s">
        <v>18</v>
      </c>
    </row>
    <row r="301" spans="1:12" x14ac:dyDescent="0.3">
      <c r="A301">
        <v>26</v>
      </c>
      <c r="B301" t="s">
        <v>88</v>
      </c>
      <c r="C301" t="s">
        <v>89</v>
      </c>
      <c r="D301" t="s">
        <v>14</v>
      </c>
      <c r="E301" t="s">
        <v>47</v>
      </c>
      <c r="F301" t="s">
        <v>26</v>
      </c>
      <c r="G301" s="1">
        <v>45992</v>
      </c>
      <c r="H301">
        <v>203</v>
      </c>
      <c r="I301">
        <v>4</v>
      </c>
      <c r="J301">
        <v>0.9</v>
      </c>
      <c r="K301">
        <v>1419.5</v>
      </c>
      <c r="L301" t="s">
        <v>18</v>
      </c>
    </row>
    <row r="302" spans="1:12" x14ac:dyDescent="0.3">
      <c r="A302">
        <v>27</v>
      </c>
      <c r="B302" t="s">
        <v>90</v>
      </c>
      <c r="C302" t="s">
        <v>91</v>
      </c>
      <c r="D302" t="s">
        <v>24</v>
      </c>
      <c r="E302" t="s">
        <v>50</v>
      </c>
      <c r="F302" t="s">
        <v>51</v>
      </c>
      <c r="G302" s="1">
        <v>45658</v>
      </c>
      <c r="H302">
        <v>319</v>
      </c>
      <c r="I302">
        <v>9</v>
      </c>
      <c r="J302">
        <v>0.95</v>
      </c>
      <c r="K302">
        <v>2865.8</v>
      </c>
      <c r="L302" t="s">
        <v>18</v>
      </c>
    </row>
    <row r="303" spans="1:12" x14ac:dyDescent="0.3">
      <c r="A303">
        <v>27</v>
      </c>
      <c r="B303" t="s">
        <v>90</v>
      </c>
      <c r="C303" t="s">
        <v>91</v>
      </c>
      <c r="D303" t="s">
        <v>24</v>
      </c>
      <c r="E303" t="s">
        <v>50</v>
      </c>
      <c r="F303" t="s">
        <v>51</v>
      </c>
      <c r="G303" s="1">
        <v>45689</v>
      </c>
      <c r="H303">
        <v>186</v>
      </c>
      <c r="I303">
        <v>10</v>
      </c>
      <c r="J303">
        <v>0.86</v>
      </c>
      <c r="K303">
        <v>1775.2</v>
      </c>
      <c r="L303" t="s">
        <v>18</v>
      </c>
    </row>
    <row r="304" spans="1:12" x14ac:dyDescent="0.3">
      <c r="A304">
        <v>27</v>
      </c>
      <c r="B304" t="s">
        <v>90</v>
      </c>
      <c r="C304" t="s">
        <v>91</v>
      </c>
      <c r="D304" t="s">
        <v>24</v>
      </c>
      <c r="E304" t="s">
        <v>50</v>
      </c>
      <c r="F304" t="s">
        <v>51</v>
      </c>
      <c r="G304" s="1">
        <v>45717</v>
      </c>
      <c r="H304">
        <v>274</v>
      </c>
      <c r="I304">
        <v>7</v>
      </c>
      <c r="J304">
        <v>0.86</v>
      </c>
      <c r="K304">
        <v>2496.8000000000002</v>
      </c>
      <c r="L304" t="s">
        <v>18</v>
      </c>
    </row>
    <row r="305" spans="1:12" x14ac:dyDescent="0.3">
      <c r="A305">
        <v>27</v>
      </c>
      <c r="B305" t="s">
        <v>90</v>
      </c>
      <c r="C305" t="s">
        <v>91</v>
      </c>
      <c r="D305" t="s">
        <v>24</v>
      </c>
      <c r="E305" t="s">
        <v>50</v>
      </c>
      <c r="F305" t="s">
        <v>51</v>
      </c>
      <c r="G305" s="1">
        <v>45748</v>
      </c>
      <c r="H305">
        <v>187</v>
      </c>
      <c r="I305">
        <v>4</v>
      </c>
      <c r="J305">
        <v>0.89</v>
      </c>
      <c r="K305">
        <v>1783.4</v>
      </c>
      <c r="L305" t="s">
        <v>17</v>
      </c>
    </row>
    <row r="306" spans="1:12" x14ac:dyDescent="0.3">
      <c r="A306">
        <v>27</v>
      </c>
      <c r="B306" t="s">
        <v>90</v>
      </c>
      <c r="C306" t="s">
        <v>91</v>
      </c>
      <c r="D306" t="s">
        <v>24</v>
      </c>
      <c r="E306" t="s">
        <v>50</v>
      </c>
      <c r="F306" t="s">
        <v>51</v>
      </c>
      <c r="G306" s="1">
        <v>45778</v>
      </c>
      <c r="H306">
        <v>173</v>
      </c>
      <c r="I306">
        <v>8</v>
      </c>
      <c r="J306">
        <v>0.86</v>
      </c>
      <c r="K306">
        <v>1668.6</v>
      </c>
      <c r="L306" t="s">
        <v>18</v>
      </c>
    </row>
    <row r="307" spans="1:12" x14ac:dyDescent="0.3">
      <c r="A307">
        <v>27</v>
      </c>
      <c r="B307" t="s">
        <v>90</v>
      </c>
      <c r="C307" t="s">
        <v>91</v>
      </c>
      <c r="D307" t="s">
        <v>24</v>
      </c>
      <c r="E307" t="s">
        <v>50</v>
      </c>
      <c r="F307" t="s">
        <v>51</v>
      </c>
      <c r="G307" s="1">
        <v>45809</v>
      </c>
      <c r="H307">
        <v>258</v>
      </c>
      <c r="I307">
        <v>7</v>
      </c>
      <c r="J307">
        <v>0.88</v>
      </c>
      <c r="K307">
        <v>2365.6</v>
      </c>
      <c r="L307" t="s">
        <v>18</v>
      </c>
    </row>
    <row r="308" spans="1:12" x14ac:dyDescent="0.3">
      <c r="A308">
        <v>27</v>
      </c>
      <c r="B308" t="s">
        <v>90</v>
      </c>
      <c r="C308" t="s">
        <v>91</v>
      </c>
      <c r="D308" t="s">
        <v>24</v>
      </c>
      <c r="E308" t="s">
        <v>50</v>
      </c>
      <c r="F308" t="s">
        <v>51</v>
      </c>
      <c r="G308" s="1">
        <v>45839</v>
      </c>
      <c r="H308">
        <v>246</v>
      </c>
      <c r="I308">
        <v>2</v>
      </c>
      <c r="J308">
        <v>0.93</v>
      </c>
      <c r="K308">
        <v>2267.1999999999998</v>
      </c>
      <c r="L308" t="s">
        <v>18</v>
      </c>
    </row>
    <row r="309" spans="1:12" x14ac:dyDescent="0.3">
      <c r="A309">
        <v>27</v>
      </c>
      <c r="B309" t="s">
        <v>90</v>
      </c>
      <c r="C309" t="s">
        <v>91</v>
      </c>
      <c r="D309" t="s">
        <v>24</v>
      </c>
      <c r="E309" t="s">
        <v>50</v>
      </c>
      <c r="F309" t="s">
        <v>51</v>
      </c>
      <c r="G309" s="1">
        <v>45870</v>
      </c>
      <c r="H309">
        <v>300</v>
      </c>
      <c r="I309">
        <v>6</v>
      </c>
      <c r="J309">
        <v>0.93</v>
      </c>
      <c r="K309">
        <v>2710</v>
      </c>
      <c r="L309" t="s">
        <v>18</v>
      </c>
    </row>
    <row r="310" spans="1:12" x14ac:dyDescent="0.3">
      <c r="A310">
        <v>27</v>
      </c>
      <c r="B310" t="s">
        <v>90</v>
      </c>
      <c r="C310" t="s">
        <v>91</v>
      </c>
      <c r="D310" t="s">
        <v>24</v>
      </c>
      <c r="E310" t="s">
        <v>50</v>
      </c>
      <c r="F310" t="s">
        <v>51</v>
      </c>
      <c r="G310" s="1">
        <v>45901</v>
      </c>
      <c r="H310">
        <v>237</v>
      </c>
      <c r="I310">
        <v>10</v>
      </c>
      <c r="J310">
        <v>0.87</v>
      </c>
      <c r="K310">
        <v>2193.4</v>
      </c>
      <c r="L310" t="s">
        <v>17</v>
      </c>
    </row>
    <row r="311" spans="1:12" x14ac:dyDescent="0.3">
      <c r="A311">
        <v>27</v>
      </c>
      <c r="B311" t="s">
        <v>90</v>
      </c>
      <c r="C311" t="s">
        <v>91</v>
      </c>
      <c r="D311" t="s">
        <v>24</v>
      </c>
      <c r="E311" t="s">
        <v>50</v>
      </c>
      <c r="F311" t="s">
        <v>51</v>
      </c>
      <c r="G311" s="1">
        <v>45931</v>
      </c>
      <c r="H311">
        <v>205</v>
      </c>
      <c r="I311">
        <v>2</v>
      </c>
      <c r="J311">
        <v>0.94</v>
      </c>
      <c r="K311">
        <v>1931</v>
      </c>
      <c r="L311" t="s">
        <v>18</v>
      </c>
    </row>
    <row r="312" spans="1:12" x14ac:dyDescent="0.3">
      <c r="A312">
        <v>27</v>
      </c>
      <c r="B312" t="s">
        <v>90</v>
      </c>
      <c r="C312" t="s">
        <v>91</v>
      </c>
      <c r="D312" t="s">
        <v>24</v>
      </c>
      <c r="E312" t="s">
        <v>50</v>
      </c>
      <c r="F312" t="s">
        <v>51</v>
      </c>
      <c r="G312" s="1">
        <v>45962</v>
      </c>
      <c r="H312">
        <v>156</v>
      </c>
      <c r="I312">
        <v>6</v>
      </c>
      <c r="J312">
        <v>0.94</v>
      </c>
      <c r="K312">
        <v>1529.2</v>
      </c>
      <c r="L312" t="s">
        <v>18</v>
      </c>
    </row>
    <row r="313" spans="1:12" x14ac:dyDescent="0.3">
      <c r="A313">
        <v>27</v>
      </c>
      <c r="B313" t="s">
        <v>90</v>
      </c>
      <c r="C313" t="s">
        <v>91</v>
      </c>
      <c r="D313" t="s">
        <v>24</v>
      </c>
      <c r="E313" t="s">
        <v>50</v>
      </c>
      <c r="F313" t="s">
        <v>51</v>
      </c>
      <c r="G313" s="1">
        <v>45992</v>
      </c>
      <c r="H313">
        <v>386</v>
      </c>
      <c r="I313">
        <v>3</v>
      </c>
      <c r="J313">
        <v>0.86</v>
      </c>
      <c r="K313">
        <v>3415.2</v>
      </c>
      <c r="L313" t="s">
        <v>18</v>
      </c>
    </row>
    <row r="314" spans="1:12" x14ac:dyDescent="0.3">
      <c r="A314">
        <v>28</v>
      </c>
      <c r="B314" t="s">
        <v>92</v>
      </c>
      <c r="C314" t="s">
        <v>93</v>
      </c>
      <c r="D314" t="s">
        <v>32</v>
      </c>
      <c r="E314" t="s">
        <v>54</v>
      </c>
      <c r="F314" t="s">
        <v>51</v>
      </c>
      <c r="G314" s="1">
        <v>45658</v>
      </c>
      <c r="H314">
        <v>357</v>
      </c>
      <c r="I314">
        <v>4</v>
      </c>
      <c r="J314">
        <v>0.93</v>
      </c>
      <c r="K314">
        <v>4248.5</v>
      </c>
      <c r="L314" t="s">
        <v>18</v>
      </c>
    </row>
    <row r="315" spans="1:12" x14ac:dyDescent="0.3">
      <c r="A315">
        <v>28</v>
      </c>
      <c r="B315" t="s">
        <v>92</v>
      </c>
      <c r="C315" t="s">
        <v>93</v>
      </c>
      <c r="D315" t="s">
        <v>32</v>
      </c>
      <c r="E315" t="s">
        <v>54</v>
      </c>
      <c r="F315" t="s">
        <v>51</v>
      </c>
      <c r="G315" s="1">
        <v>45689</v>
      </c>
      <c r="H315">
        <v>246</v>
      </c>
      <c r="I315">
        <v>2</v>
      </c>
      <c r="J315">
        <v>0.97</v>
      </c>
      <c r="K315">
        <v>3083</v>
      </c>
      <c r="L315" t="s">
        <v>18</v>
      </c>
    </row>
    <row r="316" spans="1:12" x14ac:dyDescent="0.3">
      <c r="A316">
        <v>28</v>
      </c>
      <c r="B316" t="s">
        <v>92</v>
      </c>
      <c r="C316" t="s">
        <v>93</v>
      </c>
      <c r="D316" t="s">
        <v>32</v>
      </c>
      <c r="E316" t="s">
        <v>54</v>
      </c>
      <c r="F316" t="s">
        <v>51</v>
      </c>
      <c r="G316" s="1">
        <v>45717</v>
      </c>
      <c r="H316">
        <v>293</v>
      </c>
      <c r="I316">
        <v>8</v>
      </c>
      <c r="J316">
        <v>0.98</v>
      </c>
      <c r="K316">
        <v>3576.5</v>
      </c>
      <c r="L316" t="s">
        <v>18</v>
      </c>
    </row>
    <row r="317" spans="1:12" x14ac:dyDescent="0.3">
      <c r="A317">
        <v>28</v>
      </c>
      <c r="B317" t="s">
        <v>92</v>
      </c>
      <c r="C317" t="s">
        <v>93</v>
      </c>
      <c r="D317" t="s">
        <v>32</v>
      </c>
      <c r="E317" t="s">
        <v>54</v>
      </c>
      <c r="F317" t="s">
        <v>51</v>
      </c>
      <c r="G317" s="1">
        <v>45748</v>
      </c>
      <c r="H317">
        <v>275</v>
      </c>
      <c r="I317">
        <v>6</v>
      </c>
      <c r="J317">
        <v>0.86</v>
      </c>
      <c r="K317">
        <v>3387.5</v>
      </c>
      <c r="L317" t="s">
        <v>18</v>
      </c>
    </row>
    <row r="318" spans="1:12" x14ac:dyDescent="0.3">
      <c r="A318">
        <v>28</v>
      </c>
      <c r="B318" t="s">
        <v>92</v>
      </c>
      <c r="C318" t="s">
        <v>93</v>
      </c>
      <c r="D318" t="s">
        <v>32</v>
      </c>
      <c r="E318" t="s">
        <v>54</v>
      </c>
      <c r="F318" t="s">
        <v>51</v>
      </c>
      <c r="G318" s="1">
        <v>45778</v>
      </c>
      <c r="H318">
        <v>191</v>
      </c>
      <c r="I318">
        <v>3</v>
      </c>
      <c r="J318">
        <v>0.88</v>
      </c>
      <c r="K318">
        <v>2505.5</v>
      </c>
      <c r="L318" t="s">
        <v>18</v>
      </c>
    </row>
    <row r="319" spans="1:12" x14ac:dyDescent="0.3">
      <c r="A319">
        <v>28</v>
      </c>
      <c r="B319" t="s">
        <v>92</v>
      </c>
      <c r="C319" t="s">
        <v>93</v>
      </c>
      <c r="D319" t="s">
        <v>32</v>
      </c>
      <c r="E319" t="s">
        <v>54</v>
      </c>
      <c r="F319" t="s">
        <v>51</v>
      </c>
      <c r="G319" s="1">
        <v>45809</v>
      </c>
      <c r="H319">
        <v>325</v>
      </c>
      <c r="I319">
        <v>9</v>
      </c>
      <c r="J319">
        <v>0.9</v>
      </c>
      <c r="K319">
        <v>3912.5</v>
      </c>
      <c r="L319" t="s">
        <v>18</v>
      </c>
    </row>
    <row r="320" spans="1:12" x14ac:dyDescent="0.3">
      <c r="A320">
        <v>28</v>
      </c>
      <c r="B320" t="s">
        <v>92</v>
      </c>
      <c r="C320" t="s">
        <v>93</v>
      </c>
      <c r="D320" t="s">
        <v>32</v>
      </c>
      <c r="E320" t="s">
        <v>54</v>
      </c>
      <c r="F320" t="s">
        <v>51</v>
      </c>
      <c r="G320" s="1">
        <v>45839</v>
      </c>
      <c r="H320">
        <v>389</v>
      </c>
      <c r="I320">
        <v>5</v>
      </c>
      <c r="J320">
        <v>0.99</v>
      </c>
      <c r="K320">
        <v>4584.5</v>
      </c>
      <c r="L320" t="s">
        <v>18</v>
      </c>
    </row>
    <row r="321" spans="1:12" x14ac:dyDescent="0.3">
      <c r="A321">
        <v>28</v>
      </c>
      <c r="B321" t="s">
        <v>92</v>
      </c>
      <c r="C321" t="s">
        <v>93</v>
      </c>
      <c r="D321" t="s">
        <v>32</v>
      </c>
      <c r="E321" t="s">
        <v>54</v>
      </c>
      <c r="F321" t="s">
        <v>51</v>
      </c>
      <c r="G321" s="1">
        <v>45870</v>
      </c>
      <c r="H321">
        <v>371</v>
      </c>
      <c r="I321">
        <v>10</v>
      </c>
      <c r="J321">
        <v>0.96</v>
      </c>
      <c r="K321">
        <v>4395.5</v>
      </c>
      <c r="L321" t="s">
        <v>17</v>
      </c>
    </row>
    <row r="322" spans="1:12" x14ac:dyDescent="0.3">
      <c r="A322">
        <v>28</v>
      </c>
      <c r="B322" t="s">
        <v>92</v>
      </c>
      <c r="C322" t="s">
        <v>93</v>
      </c>
      <c r="D322" t="s">
        <v>32</v>
      </c>
      <c r="E322" t="s">
        <v>54</v>
      </c>
      <c r="F322" t="s">
        <v>51</v>
      </c>
      <c r="G322" s="1">
        <v>45901</v>
      </c>
      <c r="H322">
        <v>394</v>
      </c>
      <c r="I322">
        <v>6</v>
      </c>
      <c r="J322">
        <v>0.85</v>
      </c>
      <c r="K322">
        <v>4637</v>
      </c>
      <c r="L322" t="s">
        <v>18</v>
      </c>
    </row>
    <row r="323" spans="1:12" x14ac:dyDescent="0.3">
      <c r="A323">
        <v>28</v>
      </c>
      <c r="B323" t="s">
        <v>92</v>
      </c>
      <c r="C323" t="s">
        <v>93</v>
      </c>
      <c r="D323" t="s">
        <v>32</v>
      </c>
      <c r="E323" t="s">
        <v>54</v>
      </c>
      <c r="F323" t="s">
        <v>51</v>
      </c>
      <c r="G323" s="1">
        <v>45931</v>
      </c>
      <c r="H323">
        <v>236</v>
      </c>
      <c r="I323">
        <v>9</v>
      </c>
      <c r="J323">
        <v>0.89</v>
      </c>
      <c r="K323">
        <v>2978</v>
      </c>
      <c r="L323" t="s">
        <v>18</v>
      </c>
    </row>
    <row r="324" spans="1:12" x14ac:dyDescent="0.3">
      <c r="A324">
        <v>28</v>
      </c>
      <c r="B324" t="s">
        <v>92</v>
      </c>
      <c r="C324" t="s">
        <v>93</v>
      </c>
      <c r="D324" t="s">
        <v>32</v>
      </c>
      <c r="E324" t="s">
        <v>54</v>
      </c>
      <c r="F324" t="s">
        <v>51</v>
      </c>
      <c r="G324" s="1">
        <v>45962</v>
      </c>
      <c r="H324">
        <v>335</v>
      </c>
      <c r="I324">
        <v>8</v>
      </c>
      <c r="J324">
        <v>0.96</v>
      </c>
      <c r="K324">
        <v>4017.5</v>
      </c>
      <c r="L324" t="s">
        <v>18</v>
      </c>
    </row>
    <row r="325" spans="1:12" x14ac:dyDescent="0.3">
      <c r="A325">
        <v>28</v>
      </c>
      <c r="B325" t="s">
        <v>92</v>
      </c>
      <c r="C325" t="s">
        <v>93</v>
      </c>
      <c r="D325" t="s">
        <v>32</v>
      </c>
      <c r="E325" t="s">
        <v>54</v>
      </c>
      <c r="F325" t="s">
        <v>51</v>
      </c>
      <c r="G325" s="1">
        <v>45992</v>
      </c>
      <c r="H325">
        <v>238</v>
      </c>
      <c r="I325">
        <v>8</v>
      </c>
      <c r="J325">
        <v>0.99</v>
      </c>
      <c r="K325">
        <v>2999</v>
      </c>
      <c r="L325" t="s">
        <v>18</v>
      </c>
    </row>
    <row r="326" spans="1:12" x14ac:dyDescent="0.3">
      <c r="A326">
        <v>29</v>
      </c>
      <c r="B326" t="s">
        <v>94</v>
      </c>
      <c r="C326" t="s">
        <v>95</v>
      </c>
      <c r="D326" t="s">
        <v>42</v>
      </c>
      <c r="E326" t="s">
        <v>57</v>
      </c>
      <c r="F326" t="s">
        <v>51</v>
      </c>
      <c r="G326" s="1">
        <v>45658</v>
      </c>
      <c r="H326">
        <v>210</v>
      </c>
      <c r="I326">
        <v>7</v>
      </c>
      <c r="J326">
        <v>0.99</v>
      </c>
      <c r="K326">
        <v>1083</v>
      </c>
      <c r="L326" t="s">
        <v>18</v>
      </c>
    </row>
    <row r="327" spans="1:12" x14ac:dyDescent="0.3">
      <c r="A327">
        <v>29</v>
      </c>
      <c r="B327" t="s">
        <v>94</v>
      </c>
      <c r="C327" t="s">
        <v>95</v>
      </c>
      <c r="D327" t="s">
        <v>42</v>
      </c>
      <c r="E327" t="s">
        <v>57</v>
      </c>
      <c r="F327" t="s">
        <v>51</v>
      </c>
      <c r="G327" s="1">
        <v>45689</v>
      </c>
      <c r="H327">
        <v>222</v>
      </c>
      <c r="I327">
        <v>5</v>
      </c>
      <c r="J327">
        <v>0.88</v>
      </c>
      <c r="K327">
        <v>1140.5999999999999</v>
      </c>
      <c r="L327" t="s">
        <v>18</v>
      </c>
    </row>
    <row r="328" spans="1:12" x14ac:dyDescent="0.3">
      <c r="A328">
        <v>29</v>
      </c>
      <c r="B328" t="s">
        <v>94</v>
      </c>
      <c r="C328" t="s">
        <v>95</v>
      </c>
      <c r="D328" t="s">
        <v>42</v>
      </c>
      <c r="E328" t="s">
        <v>57</v>
      </c>
      <c r="F328" t="s">
        <v>51</v>
      </c>
      <c r="G328" s="1">
        <v>45717</v>
      </c>
      <c r="H328">
        <v>372</v>
      </c>
      <c r="I328">
        <v>5</v>
      </c>
      <c r="J328">
        <v>0.94</v>
      </c>
      <c r="K328">
        <v>1860.6</v>
      </c>
      <c r="L328" t="s">
        <v>18</v>
      </c>
    </row>
    <row r="329" spans="1:12" x14ac:dyDescent="0.3">
      <c r="A329">
        <v>29</v>
      </c>
      <c r="B329" t="s">
        <v>94</v>
      </c>
      <c r="C329" t="s">
        <v>95</v>
      </c>
      <c r="D329" t="s">
        <v>42</v>
      </c>
      <c r="E329" t="s">
        <v>57</v>
      </c>
      <c r="F329" t="s">
        <v>51</v>
      </c>
      <c r="G329" s="1">
        <v>45748</v>
      </c>
      <c r="H329">
        <v>357</v>
      </c>
      <c r="I329">
        <v>4</v>
      </c>
      <c r="J329">
        <v>0.94</v>
      </c>
      <c r="K329">
        <v>1788.6</v>
      </c>
      <c r="L329" t="s">
        <v>18</v>
      </c>
    </row>
    <row r="330" spans="1:12" x14ac:dyDescent="0.3">
      <c r="A330">
        <v>29</v>
      </c>
      <c r="B330" t="s">
        <v>94</v>
      </c>
      <c r="C330" t="s">
        <v>95</v>
      </c>
      <c r="D330" t="s">
        <v>42</v>
      </c>
      <c r="E330" t="s">
        <v>57</v>
      </c>
      <c r="F330" t="s">
        <v>51</v>
      </c>
      <c r="G330" s="1">
        <v>45778</v>
      </c>
      <c r="H330">
        <v>361</v>
      </c>
      <c r="I330">
        <v>10</v>
      </c>
      <c r="J330">
        <v>0.99</v>
      </c>
      <c r="K330">
        <v>1807.8</v>
      </c>
      <c r="L330" t="s">
        <v>18</v>
      </c>
    </row>
    <row r="331" spans="1:12" x14ac:dyDescent="0.3">
      <c r="A331">
        <v>29</v>
      </c>
      <c r="B331" t="s">
        <v>94</v>
      </c>
      <c r="C331" t="s">
        <v>95</v>
      </c>
      <c r="D331" t="s">
        <v>42</v>
      </c>
      <c r="E331" t="s">
        <v>57</v>
      </c>
      <c r="F331" t="s">
        <v>51</v>
      </c>
      <c r="G331" s="1">
        <v>45809</v>
      </c>
      <c r="H331">
        <v>222</v>
      </c>
      <c r="I331">
        <v>4</v>
      </c>
      <c r="J331">
        <v>0.9</v>
      </c>
      <c r="K331">
        <v>1140.5999999999999</v>
      </c>
      <c r="L331" t="s">
        <v>18</v>
      </c>
    </row>
    <row r="332" spans="1:12" x14ac:dyDescent="0.3">
      <c r="A332">
        <v>29</v>
      </c>
      <c r="B332" t="s">
        <v>94</v>
      </c>
      <c r="C332" t="s">
        <v>95</v>
      </c>
      <c r="D332" t="s">
        <v>42</v>
      </c>
      <c r="E332" t="s">
        <v>57</v>
      </c>
      <c r="F332" t="s">
        <v>51</v>
      </c>
      <c r="G332" s="1">
        <v>45839</v>
      </c>
      <c r="H332">
        <v>161</v>
      </c>
      <c r="I332">
        <v>5</v>
      </c>
      <c r="J332">
        <v>0.86</v>
      </c>
      <c r="K332">
        <v>847.8</v>
      </c>
      <c r="L332" t="s">
        <v>18</v>
      </c>
    </row>
    <row r="333" spans="1:12" x14ac:dyDescent="0.3">
      <c r="A333">
        <v>29</v>
      </c>
      <c r="B333" t="s">
        <v>94</v>
      </c>
      <c r="C333" t="s">
        <v>95</v>
      </c>
      <c r="D333" t="s">
        <v>42</v>
      </c>
      <c r="E333" t="s">
        <v>57</v>
      </c>
      <c r="F333" t="s">
        <v>51</v>
      </c>
      <c r="G333" s="1">
        <v>45870</v>
      </c>
      <c r="H333">
        <v>320</v>
      </c>
      <c r="I333">
        <v>8</v>
      </c>
      <c r="J333">
        <v>0.95</v>
      </c>
      <c r="K333">
        <v>1611</v>
      </c>
      <c r="L333" t="s">
        <v>18</v>
      </c>
    </row>
    <row r="334" spans="1:12" x14ac:dyDescent="0.3">
      <c r="A334">
        <v>29</v>
      </c>
      <c r="B334" t="s">
        <v>94</v>
      </c>
      <c r="C334" t="s">
        <v>95</v>
      </c>
      <c r="D334" t="s">
        <v>42</v>
      </c>
      <c r="E334" t="s">
        <v>57</v>
      </c>
      <c r="F334" t="s">
        <v>51</v>
      </c>
      <c r="G334" s="1">
        <v>45901</v>
      </c>
      <c r="H334">
        <v>337</v>
      </c>
      <c r="I334">
        <v>10</v>
      </c>
      <c r="J334">
        <v>0.87</v>
      </c>
      <c r="K334">
        <v>1692.6</v>
      </c>
      <c r="L334" t="s">
        <v>18</v>
      </c>
    </row>
    <row r="335" spans="1:12" x14ac:dyDescent="0.3">
      <c r="A335">
        <v>29</v>
      </c>
      <c r="B335" t="s">
        <v>94</v>
      </c>
      <c r="C335" t="s">
        <v>95</v>
      </c>
      <c r="D335" t="s">
        <v>42</v>
      </c>
      <c r="E335" t="s">
        <v>57</v>
      </c>
      <c r="F335" t="s">
        <v>51</v>
      </c>
      <c r="G335" s="1">
        <v>45931</v>
      </c>
      <c r="H335">
        <v>238</v>
      </c>
      <c r="I335">
        <v>7</v>
      </c>
      <c r="J335">
        <v>0.92</v>
      </c>
      <c r="K335">
        <v>1217.4000000000001</v>
      </c>
      <c r="L335" t="s">
        <v>17</v>
      </c>
    </row>
    <row r="336" spans="1:12" x14ac:dyDescent="0.3">
      <c r="A336">
        <v>29</v>
      </c>
      <c r="B336" t="s">
        <v>94</v>
      </c>
      <c r="C336" t="s">
        <v>95</v>
      </c>
      <c r="D336" t="s">
        <v>42</v>
      </c>
      <c r="E336" t="s">
        <v>57</v>
      </c>
      <c r="F336" t="s">
        <v>51</v>
      </c>
      <c r="G336" s="1">
        <v>45962</v>
      </c>
      <c r="H336">
        <v>359</v>
      </c>
      <c r="I336">
        <v>9</v>
      </c>
      <c r="J336">
        <v>0.97</v>
      </c>
      <c r="K336">
        <v>1798.2</v>
      </c>
      <c r="L336" t="s">
        <v>18</v>
      </c>
    </row>
    <row r="337" spans="1:12" x14ac:dyDescent="0.3">
      <c r="A337">
        <v>29</v>
      </c>
      <c r="B337" t="s">
        <v>94</v>
      </c>
      <c r="C337" t="s">
        <v>95</v>
      </c>
      <c r="D337" t="s">
        <v>42</v>
      </c>
      <c r="E337" t="s">
        <v>57</v>
      </c>
      <c r="F337" t="s">
        <v>51</v>
      </c>
      <c r="G337" s="1">
        <v>45992</v>
      </c>
      <c r="H337">
        <v>175</v>
      </c>
      <c r="I337">
        <v>8</v>
      </c>
      <c r="J337">
        <v>0.95</v>
      </c>
      <c r="K337">
        <v>915</v>
      </c>
      <c r="L337" t="s">
        <v>18</v>
      </c>
    </row>
    <row r="338" spans="1:12" x14ac:dyDescent="0.3">
      <c r="A338">
        <v>30</v>
      </c>
      <c r="B338" t="s">
        <v>96</v>
      </c>
      <c r="C338" t="s">
        <v>97</v>
      </c>
      <c r="D338" t="s">
        <v>14</v>
      </c>
      <c r="E338" t="s">
        <v>33</v>
      </c>
      <c r="F338" t="s">
        <v>34</v>
      </c>
      <c r="G338" s="1">
        <v>45658</v>
      </c>
      <c r="H338">
        <v>233</v>
      </c>
      <c r="I338">
        <v>4</v>
      </c>
      <c r="J338">
        <v>0.86</v>
      </c>
      <c r="K338">
        <v>1614.5</v>
      </c>
      <c r="L338" t="s">
        <v>18</v>
      </c>
    </row>
    <row r="339" spans="1:12" x14ac:dyDescent="0.3">
      <c r="A339">
        <v>30</v>
      </c>
      <c r="B339" t="s">
        <v>96</v>
      </c>
      <c r="C339" t="s">
        <v>97</v>
      </c>
      <c r="D339" t="s">
        <v>14</v>
      </c>
      <c r="E339" t="s">
        <v>33</v>
      </c>
      <c r="F339" t="s">
        <v>34</v>
      </c>
      <c r="G339" s="1">
        <v>45689</v>
      </c>
      <c r="H339">
        <v>354</v>
      </c>
      <c r="I339">
        <v>10</v>
      </c>
      <c r="J339">
        <v>0.99</v>
      </c>
      <c r="K339">
        <v>2401</v>
      </c>
      <c r="L339" t="s">
        <v>18</v>
      </c>
    </row>
    <row r="340" spans="1:12" x14ac:dyDescent="0.3">
      <c r="A340">
        <v>30</v>
      </c>
      <c r="B340" t="s">
        <v>96</v>
      </c>
      <c r="C340" t="s">
        <v>97</v>
      </c>
      <c r="D340" t="s">
        <v>14</v>
      </c>
      <c r="E340" t="s">
        <v>33</v>
      </c>
      <c r="F340" t="s">
        <v>34</v>
      </c>
      <c r="G340" s="1">
        <v>45717</v>
      </c>
      <c r="H340">
        <v>349</v>
      </c>
      <c r="I340">
        <v>8</v>
      </c>
      <c r="J340">
        <v>0.87</v>
      </c>
      <c r="K340">
        <v>2368.5</v>
      </c>
      <c r="L340" t="s">
        <v>18</v>
      </c>
    </row>
    <row r="341" spans="1:12" x14ac:dyDescent="0.3">
      <c r="A341">
        <v>30</v>
      </c>
      <c r="B341" t="s">
        <v>96</v>
      </c>
      <c r="C341" t="s">
        <v>97</v>
      </c>
      <c r="D341" t="s">
        <v>14</v>
      </c>
      <c r="E341" t="s">
        <v>33</v>
      </c>
      <c r="F341" t="s">
        <v>34</v>
      </c>
      <c r="G341" s="1">
        <v>45748</v>
      </c>
      <c r="H341">
        <v>367</v>
      </c>
      <c r="I341">
        <v>6</v>
      </c>
      <c r="J341">
        <v>0.86</v>
      </c>
      <c r="K341">
        <v>2485.5</v>
      </c>
      <c r="L341" t="s">
        <v>18</v>
      </c>
    </row>
    <row r="342" spans="1:12" x14ac:dyDescent="0.3">
      <c r="A342">
        <v>30</v>
      </c>
      <c r="B342" t="s">
        <v>96</v>
      </c>
      <c r="C342" t="s">
        <v>97</v>
      </c>
      <c r="D342" t="s">
        <v>14</v>
      </c>
      <c r="E342" t="s">
        <v>33</v>
      </c>
      <c r="F342" t="s">
        <v>34</v>
      </c>
      <c r="G342" s="1">
        <v>45778</v>
      </c>
      <c r="H342">
        <v>329</v>
      </c>
      <c r="I342">
        <v>6</v>
      </c>
      <c r="J342">
        <v>0.89</v>
      </c>
      <c r="K342">
        <v>2238.5</v>
      </c>
      <c r="L342" t="s">
        <v>18</v>
      </c>
    </row>
    <row r="343" spans="1:12" x14ac:dyDescent="0.3">
      <c r="A343">
        <v>30</v>
      </c>
      <c r="B343" t="s">
        <v>96</v>
      </c>
      <c r="C343" t="s">
        <v>97</v>
      </c>
      <c r="D343" t="s">
        <v>14</v>
      </c>
      <c r="E343" t="s">
        <v>33</v>
      </c>
      <c r="F343" t="s">
        <v>34</v>
      </c>
      <c r="G343" s="1">
        <v>45809</v>
      </c>
      <c r="H343">
        <v>367</v>
      </c>
      <c r="I343">
        <v>5</v>
      </c>
      <c r="J343">
        <v>0.88</v>
      </c>
      <c r="K343">
        <v>2485.5</v>
      </c>
      <c r="L343" t="s">
        <v>18</v>
      </c>
    </row>
    <row r="344" spans="1:12" x14ac:dyDescent="0.3">
      <c r="A344">
        <v>30</v>
      </c>
      <c r="B344" t="s">
        <v>96</v>
      </c>
      <c r="C344" t="s">
        <v>97</v>
      </c>
      <c r="D344" t="s">
        <v>14</v>
      </c>
      <c r="E344" t="s">
        <v>33</v>
      </c>
      <c r="F344" t="s">
        <v>34</v>
      </c>
      <c r="G344" s="1">
        <v>45839</v>
      </c>
      <c r="H344">
        <v>327</v>
      </c>
      <c r="I344">
        <v>2</v>
      </c>
      <c r="J344">
        <v>0.97</v>
      </c>
      <c r="K344">
        <v>2225.5</v>
      </c>
      <c r="L344" t="s">
        <v>18</v>
      </c>
    </row>
    <row r="345" spans="1:12" x14ac:dyDescent="0.3">
      <c r="A345">
        <v>30</v>
      </c>
      <c r="B345" t="s">
        <v>96</v>
      </c>
      <c r="C345" t="s">
        <v>97</v>
      </c>
      <c r="D345" t="s">
        <v>14</v>
      </c>
      <c r="E345" t="s">
        <v>33</v>
      </c>
      <c r="F345" t="s">
        <v>34</v>
      </c>
      <c r="G345" s="1">
        <v>45870</v>
      </c>
      <c r="H345">
        <v>369</v>
      </c>
      <c r="I345">
        <v>2</v>
      </c>
      <c r="J345">
        <v>0.95</v>
      </c>
      <c r="K345">
        <v>2498.5</v>
      </c>
      <c r="L345" t="s">
        <v>18</v>
      </c>
    </row>
    <row r="346" spans="1:12" x14ac:dyDescent="0.3">
      <c r="A346">
        <v>30</v>
      </c>
      <c r="B346" t="s">
        <v>96</v>
      </c>
      <c r="C346" t="s">
        <v>97</v>
      </c>
      <c r="D346" t="s">
        <v>14</v>
      </c>
      <c r="E346" t="s">
        <v>33</v>
      </c>
      <c r="F346" t="s">
        <v>34</v>
      </c>
      <c r="G346" s="1">
        <v>45901</v>
      </c>
      <c r="H346">
        <v>324</v>
      </c>
      <c r="I346">
        <v>10</v>
      </c>
      <c r="J346">
        <v>0.88</v>
      </c>
      <c r="K346">
        <v>2206</v>
      </c>
      <c r="L346" t="s">
        <v>18</v>
      </c>
    </row>
    <row r="347" spans="1:12" x14ac:dyDescent="0.3">
      <c r="A347">
        <v>30</v>
      </c>
      <c r="B347" t="s">
        <v>96</v>
      </c>
      <c r="C347" t="s">
        <v>97</v>
      </c>
      <c r="D347" t="s">
        <v>14</v>
      </c>
      <c r="E347" t="s">
        <v>33</v>
      </c>
      <c r="F347" t="s">
        <v>34</v>
      </c>
      <c r="G347" s="1">
        <v>45931</v>
      </c>
      <c r="H347">
        <v>261</v>
      </c>
      <c r="I347">
        <v>9</v>
      </c>
      <c r="J347">
        <v>0.93</v>
      </c>
      <c r="K347">
        <v>1796.5</v>
      </c>
      <c r="L347" t="s">
        <v>18</v>
      </c>
    </row>
    <row r="348" spans="1:12" x14ac:dyDescent="0.3">
      <c r="A348">
        <v>30</v>
      </c>
      <c r="B348" t="s">
        <v>96</v>
      </c>
      <c r="C348" t="s">
        <v>97</v>
      </c>
      <c r="D348" t="s">
        <v>14</v>
      </c>
      <c r="E348" t="s">
        <v>33</v>
      </c>
      <c r="F348" t="s">
        <v>34</v>
      </c>
      <c r="G348" s="1">
        <v>45962</v>
      </c>
      <c r="H348">
        <v>312</v>
      </c>
      <c r="I348">
        <v>6</v>
      </c>
      <c r="J348">
        <v>0.86</v>
      </c>
      <c r="K348">
        <v>2128</v>
      </c>
      <c r="L348" t="s">
        <v>18</v>
      </c>
    </row>
    <row r="349" spans="1:12" x14ac:dyDescent="0.3">
      <c r="A349">
        <v>30</v>
      </c>
      <c r="B349" t="s">
        <v>96</v>
      </c>
      <c r="C349" t="s">
        <v>97</v>
      </c>
      <c r="D349" t="s">
        <v>14</v>
      </c>
      <c r="E349" t="s">
        <v>33</v>
      </c>
      <c r="F349" t="s">
        <v>34</v>
      </c>
      <c r="G349" s="1">
        <v>45992</v>
      </c>
      <c r="H349">
        <v>333</v>
      </c>
      <c r="I349">
        <v>9</v>
      </c>
      <c r="J349">
        <v>0.86</v>
      </c>
      <c r="K349">
        <v>2264.5</v>
      </c>
      <c r="L349" t="s">
        <v>18</v>
      </c>
    </row>
    <row r="350" spans="1:12" x14ac:dyDescent="0.3">
      <c r="A350">
        <v>31</v>
      </c>
      <c r="B350" t="s">
        <v>98</v>
      </c>
      <c r="C350" t="s">
        <v>99</v>
      </c>
      <c r="D350" t="s">
        <v>24</v>
      </c>
      <c r="E350" t="s">
        <v>62</v>
      </c>
      <c r="F350" t="s">
        <v>34</v>
      </c>
      <c r="G350" s="1">
        <v>45658</v>
      </c>
      <c r="H350">
        <v>366</v>
      </c>
      <c r="I350">
        <v>6</v>
      </c>
      <c r="J350">
        <v>0.89</v>
      </c>
      <c r="K350">
        <v>3251.2</v>
      </c>
      <c r="L350" t="s">
        <v>18</v>
      </c>
    </row>
    <row r="351" spans="1:12" x14ac:dyDescent="0.3">
      <c r="A351">
        <v>31</v>
      </c>
      <c r="B351" t="s">
        <v>98</v>
      </c>
      <c r="C351" t="s">
        <v>99</v>
      </c>
      <c r="D351" t="s">
        <v>24</v>
      </c>
      <c r="E351" t="s">
        <v>62</v>
      </c>
      <c r="F351" t="s">
        <v>34</v>
      </c>
      <c r="G351" s="1">
        <v>45689</v>
      </c>
      <c r="H351">
        <v>338</v>
      </c>
      <c r="I351">
        <v>5</v>
      </c>
      <c r="J351">
        <v>0.96</v>
      </c>
      <c r="K351">
        <v>3021.6</v>
      </c>
      <c r="L351" t="s">
        <v>17</v>
      </c>
    </row>
    <row r="352" spans="1:12" x14ac:dyDescent="0.3">
      <c r="A352">
        <v>31</v>
      </c>
      <c r="B352" t="s">
        <v>98</v>
      </c>
      <c r="C352" t="s">
        <v>99</v>
      </c>
      <c r="D352" t="s">
        <v>24</v>
      </c>
      <c r="E352" t="s">
        <v>62</v>
      </c>
      <c r="F352" t="s">
        <v>34</v>
      </c>
      <c r="G352" s="1">
        <v>45717</v>
      </c>
      <c r="H352">
        <v>387</v>
      </c>
      <c r="I352">
        <v>2</v>
      </c>
      <c r="J352">
        <v>0.98</v>
      </c>
      <c r="K352">
        <v>3423.4</v>
      </c>
      <c r="L352" t="s">
        <v>18</v>
      </c>
    </row>
    <row r="353" spans="1:12" x14ac:dyDescent="0.3">
      <c r="A353">
        <v>31</v>
      </c>
      <c r="B353" t="s">
        <v>98</v>
      </c>
      <c r="C353" t="s">
        <v>99</v>
      </c>
      <c r="D353" t="s">
        <v>24</v>
      </c>
      <c r="E353" t="s">
        <v>62</v>
      </c>
      <c r="F353" t="s">
        <v>34</v>
      </c>
      <c r="G353" s="1">
        <v>45748</v>
      </c>
      <c r="H353">
        <v>187</v>
      </c>
      <c r="I353">
        <v>9</v>
      </c>
      <c r="J353">
        <v>0.88</v>
      </c>
      <c r="K353">
        <v>1783.4</v>
      </c>
      <c r="L353" t="s">
        <v>18</v>
      </c>
    </row>
    <row r="354" spans="1:12" x14ac:dyDescent="0.3">
      <c r="A354">
        <v>31</v>
      </c>
      <c r="B354" t="s">
        <v>98</v>
      </c>
      <c r="C354" t="s">
        <v>99</v>
      </c>
      <c r="D354" t="s">
        <v>24</v>
      </c>
      <c r="E354" t="s">
        <v>62</v>
      </c>
      <c r="F354" t="s">
        <v>34</v>
      </c>
      <c r="G354" s="1">
        <v>45778</v>
      </c>
      <c r="H354">
        <v>341</v>
      </c>
      <c r="I354">
        <v>3</v>
      </c>
      <c r="J354">
        <v>0.85</v>
      </c>
      <c r="K354">
        <v>3046.2</v>
      </c>
      <c r="L354" t="s">
        <v>18</v>
      </c>
    </row>
    <row r="355" spans="1:12" x14ac:dyDescent="0.3">
      <c r="A355">
        <v>31</v>
      </c>
      <c r="B355" t="s">
        <v>98</v>
      </c>
      <c r="C355" t="s">
        <v>99</v>
      </c>
      <c r="D355" t="s">
        <v>24</v>
      </c>
      <c r="E355" t="s">
        <v>62</v>
      </c>
      <c r="F355" t="s">
        <v>34</v>
      </c>
      <c r="G355" s="1">
        <v>45809</v>
      </c>
      <c r="H355">
        <v>381</v>
      </c>
      <c r="I355">
        <v>10</v>
      </c>
      <c r="J355">
        <v>0.95</v>
      </c>
      <c r="K355">
        <v>3374.2</v>
      </c>
      <c r="L355" t="s">
        <v>18</v>
      </c>
    </row>
    <row r="356" spans="1:12" x14ac:dyDescent="0.3">
      <c r="A356">
        <v>31</v>
      </c>
      <c r="B356" t="s">
        <v>98</v>
      </c>
      <c r="C356" t="s">
        <v>99</v>
      </c>
      <c r="D356" t="s">
        <v>24</v>
      </c>
      <c r="E356" t="s">
        <v>62</v>
      </c>
      <c r="F356" t="s">
        <v>34</v>
      </c>
      <c r="G356" s="1">
        <v>45839</v>
      </c>
      <c r="H356">
        <v>163</v>
      </c>
      <c r="I356">
        <v>8</v>
      </c>
      <c r="J356">
        <v>0.98</v>
      </c>
      <c r="K356">
        <v>1586.6</v>
      </c>
      <c r="L356" t="s">
        <v>18</v>
      </c>
    </row>
    <row r="357" spans="1:12" x14ac:dyDescent="0.3">
      <c r="A357">
        <v>31</v>
      </c>
      <c r="B357" t="s">
        <v>98</v>
      </c>
      <c r="C357" t="s">
        <v>99</v>
      </c>
      <c r="D357" t="s">
        <v>24</v>
      </c>
      <c r="E357" t="s">
        <v>62</v>
      </c>
      <c r="F357" t="s">
        <v>34</v>
      </c>
      <c r="G357" s="1">
        <v>45870</v>
      </c>
      <c r="H357">
        <v>308</v>
      </c>
      <c r="I357">
        <v>2</v>
      </c>
      <c r="J357">
        <v>0.96</v>
      </c>
      <c r="K357">
        <v>2775.6</v>
      </c>
      <c r="L357" t="s">
        <v>17</v>
      </c>
    </row>
    <row r="358" spans="1:12" x14ac:dyDescent="0.3">
      <c r="A358">
        <v>31</v>
      </c>
      <c r="B358" t="s">
        <v>98</v>
      </c>
      <c r="C358" t="s">
        <v>99</v>
      </c>
      <c r="D358" t="s">
        <v>24</v>
      </c>
      <c r="E358" t="s">
        <v>62</v>
      </c>
      <c r="F358" t="s">
        <v>34</v>
      </c>
      <c r="G358" s="1">
        <v>45901</v>
      </c>
      <c r="H358">
        <v>253</v>
      </c>
      <c r="I358">
        <v>2</v>
      </c>
      <c r="J358">
        <v>0.96</v>
      </c>
      <c r="K358">
        <v>2324.6</v>
      </c>
      <c r="L358" t="s">
        <v>18</v>
      </c>
    </row>
    <row r="359" spans="1:12" x14ac:dyDescent="0.3">
      <c r="A359">
        <v>31</v>
      </c>
      <c r="B359" t="s">
        <v>98</v>
      </c>
      <c r="C359" t="s">
        <v>99</v>
      </c>
      <c r="D359" t="s">
        <v>24</v>
      </c>
      <c r="E359" t="s">
        <v>62</v>
      </c>
      <c r="F359" t="s">
        <v>34</v>
      </c>
      <c r="G359" s="1">
        <v>45931</v>
      </c>
      <c r="H359">
        <v>355</v>
      </c>
      <c r="I359">
        <v>9</v>
      </c>
      <c r="J359">
        <v>0.93</v>
      </c>
      <c r="K359">
        <v>3161</v>
      </c>
      <c r="L359" t="s">
        <v>18</v>
      </c>
    </row>
    <row r="360" spans="1:12" x14ac:dyDescent="0.3">
      <c r="A360">
        <v>31</v>
      </c>
      <c r="B360" t="s">
        <v>98</v>
      </c>
      <c r="C360" t="s">
        <v>99</v>
      </c>
      <c r="D360" t="s">
        <v>24</v>
      </c>
      <c r="E360" t="s">
        <v>62</v>
      </c>
      <c r="F360" t="s">
        <v>34</v>
      </c>
      <c r="G360" s="1">
        <v>45962</v>
      </c>
      <c r="H360">
        <v>286</v>
      </c>
      <c r="I360">
        <v>10</v>
      </c>
      <c r="J360">
        <v>0.95</v>
      </c>
      <c r="K360">
        <v>2595.1999999999998</v>
      </c>
      <c r="L360" t="s">
        <v>18</v>
      </c>
    </row>
    <row r="361" spans="1:12" x14ac:dyDescent="0.3">
      <c r="A361">
        <v>31</v>
      </c>
      <c r="B361" t="s">
        <v>98</v>
      </c>
      <c r="C361" t="s">
        <v>99</v>
      </c>
      <c r="D361" t="s">
        <v>24</v>
      </c>
      <c r="E361" t="s">
        <v>62</v>
      </c>
      <c r="F361" t="s">
        <v>34</v>
      </c>
      <c r="G361" s="1">
        <v>45992</v>
      </c>
      <c r="H361">
        <v>380</v>
      </c>
      <c r="I361">
        <v>8</v>
      </c>
      <c r="J361">
        <v>0.99</v>
      </c>
      <c r="K361">
        <v>3366</v>
      </c>
      <c r="L361" t="s">
        <v>18</v>
      </c>
    </row>
    <row r="362" spans="1:12" x14ac:dyDescent="0.3">
      <c r="A362">
        <v>32</v>
      </c>
      <c r="B362" t="s">
        <v>100</v>
      </c>
      <c r="C362" t="s">
        <v>101</v>
      </c>
      <c r="D362" t="s">
        <v>32</v>
      </c>
      <c r="E362" t="s">
        <v>65</v>
      </c>
      <c r="F362" t="s">
        <v>66</v>
      </c>
      <c r="G362" s="1">
        <v>45658</v>
      </c>
      <c r="H362">
        <v>317</v>
      </c>
      <c r="I362">
        <v>2</v>
      </c>
      <c r="J362">
        <v>0.99</v>
      </c>
      <c r="K362">
        <v>3828.5</v>
      </c>
      <c r="L362" t="s">
        <v>18</v>
      </c>
    </row>
    <row r="363" spans="1:12" x14ac:dyDescent="0.3">
      <c r="A363">
        <v>32</v>
      </c>
      <c r="B363" t="s">
        <v>100</v>
      </c>
      <c r="C363" t="s">
        <v>101</v>
      </c>
      <c r="D363" t="s">
        <v>32</v>
      </c>
      <c r="E363" t="s">
        <v>65</v>
      </c>
      <c r="F363" t="s">
        <v>66</v>
      </c>
      <c r="G363" s="1">
        <v>45689</v>
      </c>
      <c r="H363">
        <v>357</v>
      </c>
      <c r="I363">
        <v>8</v>
      </c>
      <c r="J363">
        <v>0.87</v>
      </c>
      <c r="K363">
        <v>4248.5</v>
      </c>
      <c r="L363" t="s">
        <v>18</v>
      </c>
    </row>
    <row r="364" spans="1:12" x14ac:dyDescent="0.3">
      <c r="A364">
        <v>32</v>
      </c>
      <c r="B364" t="s">
        <v>100</v>
      </c>
      <c r="C364" t="s">
        <v>101</v>
      </c>
      <c r="D364" t="s">
        <v>32</v>
      </c>
      <c r="E364" t="s">
        <v>65</v>
      </c>
      <c r="F364" t="s">
        <v>66</v>
      </c>
      <c r="G364" s="1">
        <v>45717</v>
      </c>
      <c r="H364">
        <v>291</v>
      </c>
      <c r="I364">
        <v>6</v>
      </c>
      <c r="J364">
        <v>0.86</v>
      </c>
      <c r="K364">
        <v>3555.5</v>
      </c>
      <c r="L364" t="s">
        <v>18</v>
      </c>
    </row>
    <row r="365" spans="1:12" x14ac:dyDescent="0.3">
      <c r="A365">
        <v>32</v>
      </c>
      <c r="B365" t="s">
        <v>100</v>
      </c>
      <c r="C365" t="s">
        <v>101</v>
      </c>
      <c r="D365" t="s">
        <v>32</v>
      </c>
      <c r="E365" t="s">
        <v>65</v>
      </c>
      <c r="F365" t="s">
        <v>66</v>
      </c>
      <c r="G365" s="1">
        <v>45748</v>
      </c>
      <c r="H365">
        <v>239</v>
      </c>
      <c r="I365">
        <v>3</v>
      </c>
      <c r="J365">
        <v>0.87</v>
      </c>
      <c r="K365">
        <v>3009.5</v>
      </c>
      <c r="L365" t="s">
        <v>18</v>
      </c>
    </row>
    <row r="366" spans="1:12" x14ac:dyDescent="0.3">
      <c r="A366">
        <v>32</v>
      </c>
      <c r="B366" t="s">
        <v>100</v>
      </c>
      <c r="C366" t="s">
        <v>101</v>
      </c>
      <c r="D366" t="s">
        <v>32</v>
      </c>
      <c r="E366" t="s">
        <v>65</v>
      </c>
      <c r="F366" t="s">
        <v>66</v>
      </c>
      <c r="G366" s="1">
        <v>45778</v>
      </c>
      <c r="H366">
        <v>226</v>
      </c>
      <c r="I366">
        <v>2</v>
      </c>
      <c r="J366">
        <v>0.91</v>
      </c>
      <c r="K366">
        <v>2873</v>
      </c>
      <c r="L366" t="s">
        <v>18</v>
      </c>
    </row>
    <row r="367" spans="1:12" x14ac:dyDescent="0.3">
      <c r="A367">
        <v>32</v>
      </c>
      <c r="B367" t="s">
        <v>100</v>
      </c>
      <c r="C367" t="s">
        <v>101</v>
      </c>
      <c r="D367" t="s">
        <v>32</v>
      </c>
      <c r="E367" t="s">
        <v>65</v>
      </c>
      <c r="F367" t="s">
        <v>66</v>
      </c>
      <c r="G367" s="1">
        <v>45809</v>
      </c>
      <c r="H367">
        <v>397</v>
      </c>
      <c r="I367">
        <v>7</v>
      </c>
      <c r="J367">
        <v>0.93</v>
      </c>
      <c r="K367">
        <v>4668.5</v>
      </c>
      <c r="L367" t="s">
        <v>18</v>
      </c>
    </row>
    <row r="368" spans="1:12" x14ac:dyDescent="0.3">
      <c r="A368">
        <v>32</v>
      </c>
      <c r="B368" t="s">
        <v>100</v>
      </c>
      <c r="C368" t="s">
        <v>101</v>
      </c>
      <c r="D368" t="s">
        <v>32</v>
      </c>
      <c r="E368" t="s">
        <v>65</v>
      </c>
      <c r="F368" t="s">
        <v>66</v>
      </c>
      <c r="G368" s="1">
        <v>45839</v>
      </c>
      <c r="H368">
        <v>300</v>
      </c>
      <c r="I368">
        <v>9</v>
      </c>
      <c r="J368">
        <v>0.97</v>
      </c>
      <c r="K368">
        <v>3650</v>
      </c>
      <c r="L368" t="s">
        <v>18</v>
      </c>
    </row>
    <row r="369" spans="1:12" x14ac:dyDescent="0.3">
      <c r="A369">
        <v>32</v>
      </c>
      <c r="B369" t="s">
        <v>100</v>
      </c>
      <c r="C369" t="s">
        <v>101</v>
      </c>
      <c r="D369" t="s">
        <v>32</v>
      </c>
      <c r="E369" t="s">
        <v>65</v>
      </c>
      <c r="F369" t="s">
        <v>66</v>
      </c>
      <c r="G369" s="1">
        <v>45870</v>
      </c>
      <c r="H369">
        <v>248</v>
      </c>
      <c r="I369">
        <v>7</v>
      </c>
      <c r="J369">
        <v>0.85</v>
      </c>
      <c r="K369">
        <v>3104</v>
      </c>
      <c r="L369" t="s">
        <v>18</v>
      </c>
    </row>
    <row r="370" spans="1:12" x14ac:dyDescent="0.3">
      <c r="A370">
        <v>32</v>
      </c>
      <c r="B370" t="s">
        <v>100</v>
      </c>
      <c r="C370" t="s">
        <v>101</v>
      </c>
      <c r="D370" t="s">
        <v>32</v>
      </c>
      <c r="E370" t="s">
        <v>65</v>
      </c>
      <c r="F370" t="s">
        <v>66</v>
      </c>
      <c r="G370" s="1">
        <v>45901</v>
      </c>
      <c r="H370">
        <v>382</v>
      </c>
      <c r="I370">
        <v>3</v>
      </c>
      <c r="J370">
        <v>0.86</v>
      </c>
      <c r="K370">
        <v>4511</v>
      </c>
      <c r="L370" t="s">
        <v>18</v>
      </c>
    </row>
    <row r="371" spans="1:12" x14ac:dyDescent="0.3">
      <c r="A371">
        <v>32</v>
      </c>
      <c r="B371" t="s">
        <v>100</v>
      </c>
      <c r="C371" t="s">
        <v>101</v>
      </c>
      <c r="D371" t="s">
        <v>32</v>
      </c>
      <c r="E371" t="s">
        <v>65</v>
      </c>
      <c r="F371" t="s">
        <v>66</v>
      </c>
      <c r="G371" s="1">
        <v>45931</v>
      </c>
      <c r="H371">
        <v>335</v>
      </c>
      <c r="I371">
        <v>4</v>
      </c>
      <c r="J371">
        <v>0.91</v>
      </c>
      <c r="K371">
        <v>4017.5</v>
      </c>
      <c r="L371" t="s">
        <v>17</v>
      </c>
    </row>
    <row r="372" spans="1:12" x14ac:dyDescent="0.3">
      <c r="A372">
        <v>32</v>
      </c>
      <c r="B372" t="s">
        <v>100</v>
      </c>
      <c r="C372" t="s">
        <v>101</v>
      </c>
      <c r="D372" t="s">
        <v>32</v>
      </c>
      <c r="E372" t="s">
        <v>65</v>
      </c>
      <c r="F372" t="s">
        <v>66</v>
      </c>
      <c r="G372" s="1">
        <v>45962</v>
      </c>
      <c r="H372">
        <v>156</v>
      </c>
      <c r="I372">
        <v>2</v>
      </c>
      <c r="J372">
        <v>0.96</v>
      </c>
      <c r="K372">
        <v>2138</v>
      </c>
      <c r="L372" t="s">
        <v>18</v>
      </c>
    </row>
    <row r="373" spans="1:12" x14ac:dyDescent="0.3">
      <c r="A373">
        <v>32</v>
      </c>
      <c r="B373" t="s">
        <v>100</v>
      </c>
      <c r="C373" t="s">
        <v>101</v>
      </c>
      <c r="D373" t="s">
        <v>32</v>
      </c>
      <c r="E373" t="s">
        <v>65</v>
      </c>
      <c r="F373" t="s">
        <v>66</v>
      </c>
      <c r="G373" s="1">
        <v>45992</v>
      </c>
      <c r="H373">
        <v>334</v>
      </c>
      <c r="I373">
        <v>6</v>
      </c>
      <c r="J373">
        <v>0.97</v>
      </c>
      <c r="K373">
        <v>4007</v>
      </c>
      <c r="L373" t="s">
        <v>17</v>
      </c>
    </row>
    <row r="374" spans="1:12" x14ac:dyDescent="0.3">
      <c r="A374">
        <v>33</v>
      </c>
      <c r="B374" t="s">
        <v>102</v>
      </c>
      <c r="C374" t="s">
        <v>103</v>
      </c>
      <c r="D374" t="s">
        <v>42</v>
      </c>
      <c r="E374" t="s">
        <v>69</v>
      </c>
      <c r="F374" t="s">
        <v>66</v>
      </c>
      <c r="G374" s="1">
        <v>45658</v>
      </c>
      <c r="H374">
        <v>306</v>
      </c>
      <c r="I374">
        <v>2</v>
      </c>
      <c r="J374">
        <v>0.93</v>
      </c>
      <c r="K374">
        <v>1543.8</v>
      </c>
      <c r="L374" t="s">
        <v>18</v>
      </c>
    </row>
    <row r="375" spans="1:12" x14ac:dyDescent="0.3">
      <c r="A375">
        <v>33</v>
      </c>
      <c r="B375" t="s">
        <v>102</v>
      </c>
      <c r="C375" t="s">
        <v>103</v>
      </c>
      <c r="D375" t="s">
        <v>42</v>
      </c>
      <c r="E375" t="s">
        <v>69</v>
      </c>
      <c r="F375" t="s">
        <v>66</v>
      </c>
      <c r="G375" s="1">
        <v>45689</v>
      </c>
      <c r="H375">
        <v>217</v>
      </c>
      <c r="I375">
        <v>9</v>
      </c>
      <c r="J375">
        <v>0.99</v>
      </c>
      <c r="K375">
        <v>1116.5999999999999</v>
      </c>
      <c r="L375" t="s">
        <v>18</v>
      </c>
    </row>
    <row r="376" spans="1:12" x14ac:dyDescent="0.3">
      <c r="A376">
        <v>33</v>
      </c>
      <c r="B376" t="s">
        <v>102</v>
      </c>
      <c r="C376" t="s">
        <v>103</v>
      </c>
      <c r="D376" t="s">
        <v>42</v>
      </c>
      <c r="E376" t="s">
        <v>69</v>
      </c>
      <c r="F376" t="s">
        <v>66</v>
      </c>
      <c r="G376" s="1">
        <v>45717</v>
      </c>
      <c r="H376">
        <v>242</v>
      </c>
      <c r="I376">
        <v>9</v>
      </c>
      <c r="J376">
        <v>0.91</v>
      </c>
      <c r="K376">
        <v>1236.5999999999999</v>
      </c>
      <c r="L376" t="s">
        <v>18</v>
      </c>
    </row>
    <row r="377" spans="1:12" x14ac:dyDescent="0.3">
      <c r="A377">
        <v>33</v>
      </c>
      <c r="B377" t="s">
        <v>102</v>
      </c>
      <c r="C377" t="s">
        <v>103</v>
      </c>
      <c r="D377" t="s">
        <v>42</v>
      </c>
      <c r="E377" t="s">
        <v>69</v>
      </c>
      <c r="F377" t="s">
        <v>66</v>
      </c>
      <c r="G377" s="1">
        <v>45748</v>
      </c>
      <c r="H377">
        <v>337</v>
      </c>
      <c r="I377">
        <v>7</v>
      </c>
      <c r="J377">
        <v>0.99</v>
      </c>
      <c r="K377">
        <v>1692.6</v>
      </c>
      <c r="L377" t="s">
        <v>18</v>
      </c>
    </row>
    <row r="378" spans="1:12" x14ac:dyDescent="0.3">
      <c r="A378">
        <v>33</v>
      </c>
      <c r="B378" t="s">
        <v>102</v>
      </c>
      <c r="C378" t="s">
        <v>103</v>
      </c>
      <c r="D378" t="s">
        <v>42</v>
      </c>
      <c r="E378" t="s">
        <v>69</v>
      </c>
      <c r="F378" t="s">
        <v>66</v>
      </c>
      <c r="G378" s="1">
        <v>45778</v>
      </c>
      <c r="H378">
        <v>178</v>
      </c>
      <c r="I378">
        <v>4</v>
      </c>
      <c r="J378">
        <v>0.92</v>
      </c>
      <c r="K378">
        <v>929.4</v>
      </c>
      <c r="L378" t="s">
        <v>17</v>
      </c>
    </row>
    <row r="379" spans="1:12" x14ac:dyDescent="0.3">
      <c r="A379">
        <v>33</v>
      </c>
      <c r="B379" t="s">
        <v>102</v>
      </c>
      <c r="C379" t="s">
        <v>103</v>
      </c>
      <c r="D379" t="s">
        <v>42</v>
      </c>
      <c r="E379" t="s">
        <v>69</v>
      </c>
      <c r="F379" t="s">
        <v>66</v>
      </c>
      <c r="G379" s="1">
        <v>45809</v>
      </c>
      <c r="H379">
        <v>158</v>
      </c>
      <c r="I379">
        <v>7</v>
      </c>
      <c r="J379">
        <v>0.89</v>
      </c>
      <c r="K379">
        <v>833.4</v>
      </c>
      <c r="L379" t="s">
        <v>17</v>
      </c>
    </row>
    <row r="380" spans="1:12" x14ac:dyDescent="0.3">
      <c r="A380">
        <v>33</v>
      </c>
      <c r="B380" t="s">
        <v>102</v>
      </c>
      <c r="C380" t="s">
        <v>103</v>
      </c>
      <c r="D380" t="s">
        <v>42</v>
      </c>
      <c r="E380" t="s">
        <v>69</v>
      </c>
      <c r="F380" t="s">
        <v>66</v>
      </c>
      <c r="G380" s="1">
        <v>45839</v>
      </c>
      <c r="H380">
        <v>217</v>
      </c>
      <c r="I380">
        <v>2</v>
      </c>
      <c r="J380">
        <v>0.9</v>
      </c>
      <c r="K380">
        <v>1116.5999999999999</v>
      </c>
      <c r="L380" t="s">
        <v>18</v>
      </c>
    </row>
    <row r="381" spans="1:12" x14ac:dyDescent="0.3">
      <c r="A381">
        <v>33</v>
      </c>
      <c r="B381" t="s">
        <v>102</v>
      </c>
      <c r="C381" t="s">
        <v>103</v>
      </c>
      <c r="D381" t="s">
        <v>42</v>
      </c>
      <c r="E381" t="s">
        <v>69</v>
      </c>
      <c r="F381" t="s">
        <v>66</v>
      </c>
      <c r="G381" s="1">
        <v>45870</v>
      </c>
      <c r="H381">
        <v>156</v>
      </c>
      <c r="I381">
        <v>5</v>
      </c>
      <c r="J381">
        <v>0.93</v>
      </c>
      <c r="K381">
        <v>823.8</v>
      </c>
      <c r="L381" t="s">
        <v>18</v>
      </c>
    </row>
    <row r="382" spans="1:12" x14ac:dyDescent="0.3">
      <c r="A382">
        <v>33</v>
      </c>
      <c r="B382" t="s">
        <v>102</v>
      </c>
      <c r="C382" t="s">
        <v>103</v>
      </c>
      <c r="D382" t="s">
        <v>42</v>
      </c>
      <c r="E382" t="s">
        <v>69</v>
      </c>
      <c r="F382" t="s">
        <v>66</v>
      </c>
      <c r="G382" s="1">
        <v>45901</v>
      </c>
      <c r="H382">
        <v>238</v>
      </c>
      <c r="I382">
        <v>10</v>
      </c>
      <c r="J382">
        <v>0.92</v>
      </c>
      <c r="K382">
        <v>1217.4000000000001</v>
      </c>
      <c r="L382" t="s">
        <v>18</v>
      </c>
    </row>
    <row r="383" spans="1:12" x14ac:dyDescent="0.3">
      <c r="A383">
        <v>33</v>
      </c>
      <c r="B383" t="s">
        <v>102</v>
      </c>
      <c r="C383" t="s">
        <v>103</v>
      </c>
      <c r="D383" t="s">
        <v>42</v>
      </c>
      <c r="E383" t="s">
        <v>69</v>
      </c>
      <c r="F383" t="s">
        <v>66</v>
      </c>
      <c r="G383" s="1">
        <v>45931</v>
      </c>
      <c r="H383">
        <v>255</v>
      </c>
      <c r="I383">
        <v>6</v>
      </c>
      <c r="J383">
        <v>0.9</v>
      </c>
      <c r="K383">
        <v>1299</v>
      </c>
      <c r="L383" t="s">
        <v>18</v>
      </c>
    </row>
    <row r="384" spans="1:12" x14ac:dyDescent="0.3">
      <c r="A384">
        <v>33</v>
      </c>
      <c r="B384" t="s">
        <v>102</v>
      </c>
      <c r="C384" t="s">
        <v>103</v>
      </c>
      <c r="D384" t="s">
        <v>42</v>
      </c>
      <c r="E384" t="s">
        <v>69</v>
      </c>
      <c r="F384" t="s">
        <v>66</v>
      </c>
      <c r="G384" s="1">
        <v>45962</v>
      </c>
      <c r="H384">
        <v>356</v>
      </c>
      <c r="I384">
        <v>8</v>
      </c>
      <c r="J384">
        <v>0.92</v>
      </c>
      <c r="K384">
        <v>1783.8</v>
      </c>
      <c r="L384" t="s">
        <v>18</v>
      </c>
    </row>
    <row r="385" spans="1:12" x14ac:dyDescent="0.3">
      <c r="A385">
        <v>33</v>
      </c>
      <c r="B385" t="s">
        <v>102</v>
      </c>
      <c r="C385" t="s">
        <v>103</v>
      </c>
      <c r="D385" t="s">
        <v>42</v>
      </c>
      <c r="E385" t="s">
        <v>69</v>
      </c>
      <c r="F385" t="s">
        <v>66</v>
      </c>
      <c r="G385" s="1">
        <v>45992</v>
      </c>
      <c r="H385">
        <v>289</v>
      </c>
      <c r="I385">
        <v>7</v>
      </c>
      <c r="J385">
        <v>0.9</v>
      </c>
      <c r="K385">
        <v>1462.2</v>
      </c>
      <c r="L385" t="s">
        <v>17</v>
      </c>
    </row>
    <row r="386" spans="1:12" x14ac:dyDescent="0.3">
      <c r="A386">
        <v>34</v>
      </c>
      <c r="B386" t="s">
        <v>104</v>
      </c>
      <c r="C386" t="s">
        <v>105</v>
      </c>
      <c r="D386" t="s">
        <v>14</v>
      </c>
      <c r="E386" t="s">
        <v>72</v>
      </c>
      <c r="F386" t="s">
        <v>73</v>
      </c>
      <c r="G386" s="1">
        <v>45658</v>
      </c>
      <c r="H386">
        <v>168</v>
      </c>
      <c r="I386">
        <v>2</v>
      </c>
      <c r="J386">
        <v>0.92</v>
      </c>
      <c r="K386">
        <v>1192</v>
      </c>
      <c r="L386" t="s">
        <v>18</v>
      </c>
    </row>
    <row r="387" spans="1:12" x14ac:dyDescent="0.3">
      <c r="A387">
        <v>34</v>
      </c>
      <c r="B387" t="s">
        <v>104</v>
      </c>
      <c r="C387" t="s">
        <v>105</v>
      </c>
      <c r="D387" t="s">
        <v>14</v>
      </c>
      <c r="E387" t="s">
        <v>72</v>
      </c>
      <c r="F387" t="s">
        <v>73</v>
      </c>
      <c r="G387" s="1">
        <v>45689</v>
      </c>
      <c r="H387">
        <v>221</v>
      </c>
      <c r="I387">
        <v>9</v>
      </c>
      <c r="J387">
        <v>0.96</v>
      </c>
      <c r="K387">
        <v>1536.5</v>
      </c>
      <c r="L387" t="s">
        <v>17</v>
      </c>
    </row>
    <row r="388" spans="1:12" x14ac:dyDescent="0.3">
      <c r="A388">
        <v>34</v>
      </c>
      <c r="B388" t="s">
        <v>104</v>
      </c>
      <c r="C388" t="s">
        <v>105</v>
      </c>
      <c r="D388" t="s">
        <v>14</v>
      </c>
      <c r="E388" t="s">
        <v>72</v>
      </c>
      <c r="F388" t="s">
        <v>73</v>
      </c>
      <c r="G388" s="1">
        <v>45717</v>
      </c>
      <c r="H388">
        <v>316</v>
      </c>
      <c r="I388">
        <v>10</v>
      </c>
      <c r="J388">
        <v>0.95</v>
      </c>
      <c r="K388">
        <v>2154</v>
      </c>
      <c r="L388" t="s">
        <v>18</v>
      </c>
    </row>
    <row r="389" spans="1:12" x14ac:dyDescent="0.3">
      <c r="A389">
        <v>34</v>
      </c>
      <c r="B389" t="s">
        <v>104</v>
      </c>
      <c r="C389" t="s">
        <v>105</v>
      </c>
      <c r="D389" t="s">
        <v>14</v>
      </c>
      <c r="E389" t="s">
        <v>72</v>
      </c>
      <c r="F389" t="s">
        <v>73</v>
      </c>
      <c r="G389" s="1">
        <v>45748</v>
      </c>
      <c r="H389">
        <v>246</v>
      </c>
      <c r="I389">
        <v>9</v>
      </c>
      <c r="J389">
        <v>0.95</v>
      </c>
      <c r="K389">
        <v>1699</v>
      </c>
      <c r="L389" t="s">
        <v>18</v>
      </c>
    </row>
    <row r="390" spans="1:12" x14ac:dyDescent="0.3">
      <c r="A390">
        <v>34</v>
      </c>
      <c r="B390" t="s">
        <v>104</v>
      </c>
      <c r="C390" t="s">
        <v>105</v>
      </c>
      <c r="D390" t="s">
        <v>14</v>
      </c>
      <c r="E390" t="s">
        <v>72</v>
      </c>
      <c r="F390" t="s">
        <v>73</v>
      </c>
      <c r="G390" s="1">
        <v>45778</v>
      </c>
      <c r="H390">
        <v>318</v>
      </c>
      <c r="I390">
        <v>3</v>
      </c>
      <c r="J390">
        <v>0.89</v>
      </c>
      <c r="K390">
        <v>2167</v>
      </c>
      <c r="L390" t="s">
        <v>18</v>
      </c>
    </row>
    <row r="391" spans="1:12" x14ac:dyDescent="0.3">
      <c r="A391">
        <v>34</v>
      </c>
      <c r="B391" t="s">
        <v>104</v>
      </c>
      <c r="C391" t="s">
        <v>105</v>
      </c>
      <c r="D391" t="s">
        <v>14</v>
      </c>
      <c r="E391" t="s">
        <v>72</v>
      </c>
      <c r="F391" t="s">
        <v>73</v>
      </c>
      <c r="G391" s="1">
        <v>45809</v>
      </c>
      <c r="H391">
        <v>243</v>
      </c>
      <c r="I391">
        <v>3</v>
      </c>
      <c r="J391">
        <v>0.97</v>
      </c>
      <c r="K391">
        <v>1679.5</v>
      </c>
      <c r="L391" t="s">
        <v>17</v>
      </c>
    </row>
    <row r="392" spans="1:12" x14ac:dyDescent="0.3">
      <c r="A392">
        <v>34</v>
      </c>
      <c r="B392" t="s">
        <v>104</v>
      </c>
      <c r="C392" t="s">
        <v>105</v>
      </c>
      <c r="D392" t="s">
        <v>14</v>
      </c>
      <c r="E392" t="s">
        <v>72</v>
      </c>
      <c r="F392" t="s">
        <v>73</v>
      </c>
      <c r="G392" s="1">
        <v>45839</v>
      </c>
      <c r="H392">
        <v>340</v>
      </c>
      <c r="I392">
        <v>9</v>
      </c>
      <c r="J392">
        <v>0.91</v>
      </c>
      <c r="K392">
        <v>2310</v>
      </c>
      <c r="L392" t="s">
        <v>18</v>
      </c>
    </row>
    <row r="393" spans="1:12" x14ac:dyDescent="0.3">
      <c r="A393">
        <v>34</v>
      </c>
      <c r="B393" t="s">
        <v>104</v>
      </c>
      <c r="C393" t="s">
        <v>105</v>
      </c>
      <c r="D393" t="s">
        <v>14</v>
      </c>
      <c r="E393" t="s">
        <v>72</v>
      </c>
      <c r="F393" t="s">
        <v>73</v>
      </c>
      <c r="G393" s="1">
        <v>45870</v>
      </c>
      <c r="H393">
        <v>293</v>
      </c>
      <c r="I393">
        <v>9</v>
      </c>
      <c r="J393">
        <v>0.91</v>
      </c>
      <c r="K393">
        <v>2004.5</v>
      </c>
      <c r="L393" t="s">
        <v>17</v>
      </c>
    </row>
    <row r="394" spans="1:12" x14ac:dyDescent="0.3">
      <c r="A394">
        <v>34</v>
      </c>
      <c r="B394" t="s">
        <v>104</v>
      </c>
      <c r="C394" t="s">
        <v>105</v>
      </c>
      <c r="D394" t="s">
        <v>14</v>
      </c>
      <c r="E394" t="s">
        <v>72</v>
      </c>
      <c r="F394" t="s">
        <v>73</v>
      </c>
      <c r="G394" s="1">
        <v>45901</v>
      </c>
      <c r="H394">
        <v>227</v>
      </c>
      <c r="I394">
        <v>8</v>
      </c>
      <c r="J394">
        <v>0.95</v>
      </c>
      <c r="K394">
        <v>1575.5</v>
      </c>
      <c r="L394" t="s">
        <v>18</v>
      </c>
    </row>
    <row r="395" spans="1:12" x14ac:dyDescent="0.3">
      <c r="A395">
        <v>34</v>
      </c>
      <c r="B395" t="s">
        <v>104</v>
      </c>
      <c r="C395" t="s">
        <v>105</v>
      </c>
      <c r="D395" t="s">
        <v>14</v>
      </c>
      <c r="E395" t="s">
        <v>72</v>
      </c>
      <c r="F395" t="s">
        <v>73</v>
      </c>
      <c r="G395" s="1">
        <v>45931</v>
      </c>
      <c r="H395">
        <v>202</v>
      </c>
      <c r="I395">
        <v>2</v>
      </c>
      <c r="J395">
        <v>0.97</v>
      </c>
      <c r="K395">
        <v>1413</v>
      </c>
      <c r="L395" t="s">
        <v>17</v>
      </c>
    </row>
    <row r="396" spans="1:12" x14ac:dyDescent="0.3">
      <c r="A396">
        <v>34</v>
      </c>
      <c r="B396" t="s">
        <v>104</v>
      </c>
      <c r="C396" t="s">
        <v>105</v>
      </c>
      <c r="D396" t="s">
        <v>14</v>
      </c>
      <c r="E396" t="s">
        <v>72</v>
      </c>
      <c r="F396" t="s">
        <v>73</v>
      </c>
      <c r="G396" s="1">
        <v>45962</v>
      </c>
      <c r="H396">
        <v>168</v>
      </c>
      <c r="I396">
        <v>6</v>
      </c>
      <c r="J396">
        <v>0.93</v>
      </c>
      <c r="K396">
        <v>1192</v>
      </c>
      <c r="L396" t="s">
        <v>18</v>
      </c>
    </row>
    <row r="397" spans="1:12" x14ac:dyDescent="0.3">
      <c r="A397">
        <v>34</v>
      </c>
      <c r="B397" t="s">
        <v>104</v>
      </c>
      <c r="C397" t="s">
        <v>105</v>
      </c>
      <c r="D397" t="s">
        <v>14</v>
      </c>
      <c r="E397" t="s">
        <v>72</v>
      </c>
      <c r="F397" t="s">
        <v>73</v>
      </c>
      <c r="G397" s="1">
        <v>45992</v>
      </c>
      <c r="H397">
        <v>328</v>
      </c>
      <c r="I397">
        <v>4</v>
      </c>
      <c r="J397">
        <v>0.96</v>
      </c>
      <c r="K397">
        <v>2232</v>
      </c>
      <c r="L397" t="s">
        <v>18</v>
      </c>
    </row>
    <row r="398" spans="1:12" x14ac:dyDescent="0.3">
      <c r="A398">
        <v>35</v>
      </c>
      <c r="B398" t="s">
        <v>106</v>
      </c>
      <c r="C398" t="s">
        <v>107</v>
      </c>
      <c r="D398" t="s">
        <v>24</v>
      </c>
      <c r="E398" t="s">
        <v>76</v>
      </c>
      <c r="F398" t="s">
        <v>77</v>
      </c>
      <c r="G398" s="1">
        <v>45658</v>
      </c>
      <c r="H398">
        <v>324</v>
      </c>
      <c r="I398">
        <v>4</v>
      </c>
      <c r="J398">
        <v>0.93</v>
      </c>
      <c r="K398">
        <v>2906.8</v>
      </c>
      <c r="L398" t="s">
        <v>17</v>
      </c>
    </row>
    <row r="399" spans="1:12" x14ac:dyDescent="0.3">
      <c r="A399">
        <v>35</v>
      </c>
      <c r="B399" t="s">
        <v>106</v>
      </c>
      <c r="C399" t="s">
        <v>107</v>
      </c>
      <c r="D399" t="s">
        <v>24</v>
      </c>
      <c r="E399" t="s">
        <v>76</v>
      </c>
      <c r="F399" t="s">
        <v>77</v>
      </c>
      <c r="G399" s="1">
        <v>45689</v>
      </c>
      <c r="H399">
        <v>185</v>
      </c>
      <c r="I399">
        <v>2</v>
      </c>
      <c r="J399">
        <v>0.92</v>
      </c>
      <c r="K399">
        <v>1767</v>
      </c>
      <c r="L399" t="s">
        <v>18</v>
      </c>
    </row>
    <row r="400" spans="1:12" x14ac:dyDescent="0.3">
      <c r="A400">
        <v>35</v>
      </c>
      <c r="B400" t="s">
        <v>106</v>
      </c>
      <c r="C400" t="s">
        <v>107</v>
      </c>
      <c r="D400" t="s">
        <v>24</v>
      </c>
      <c r="E400" t="s">
        <v>76</v>
      </c>
      <c r="F400" t="s">
        <v>77</v>
      </c>
      <c r="G400" s="1">
        <v>45717</v>
      </c>
      <c r="H400">
        <v>207</v>
      </c>
      <c r="I400">
        <v>2</v>
      </c>
      <c r="J400">
        <v>0.94</v>
      </c>
      <c r="K400">
        <v>1947.4</v>
      </c>
      <c r="L400" t="s">
        <v>18</v>
      </c>
    </row>
    <row r="401" spans="1:12" x14ac:dyDescent="0.3">
      <c r="A401">
        <v>35</v>
      </c>
      <c r="B401" t="s">
        <v>106</v>
      </c>
      <c r="C401" t="s">
        <v>107</v>
      </c>
      <c r="D401" t="s">
        <v>24</v>
      </c>
      <c r="E401" t="s">
        <v>76</v>
      </c>
      <c r="F401" t="s">
        <v>77</v>
      </c>
      <c r="G401" s="1">
        <v>45748</v>
      </c>
      <c r="H401">
        <v>393</v>
      </c>
      <c r="I401">
        <v>8</v>
      </c>
      <c r="J401">
        <v>0.98</v>
      </c>
      <c r="K401">
        <v>3472.6</v>
      </c>
      <c r="L401" t="s">
        <v>18</v>
      </c>
    </row>
    <row r="402" spans="1:12" x14ac:dyDescent="0.3">
      <c r="A402">
        <v>35</v>
      </c>
      <c r="B402" t="s">
        <v>106</v>
      </c>
      <c r="C402" t="s">
        <v>107</v>
      </c>
      <c r="D402" t="s">
        <v>24</v>
      </c>
      <c r="E402" t="s">
        <v>76</v>
      </c>
      <c r="F402" t="s">
        <v>77</v>
      </c>
      <c r="G402" s="1">
        <v>45778</v>
      </c>
      <c r="H402">
        <v>361</v>
      </c>
      <c r="I402">
        <v>6</v>
      </c>
      <c r="J402">
        <v>0.85</v>
      </c>
      <c r="K402">
        <v>3210.2</v>
      </c>
      <c r="L402" t="s">
        <v>18</v>
      </c>
    </row>
    <row r="403" spans="1:12" x14ac:dyDescent="0.3">
      <c r="A403">
        <v>35</v>
      </c>
      <c r="B403" t="s">
        <v>106</v>
      </c>
      <c r="C403" t="s">
        <v>107</v>
      </c>
      <c r="D403" t="s">
        <v>24</v>
      </c>
      <c r="E403" t="s">
        <v>76</v>
      </c>
      <c r="F403" t="s">
        <v>77</v>
      </c>
      <c r="G403" s="1">
        <v>45809</v>
      </c>
      <c r="H403">
        <v>173</v>
      </c>
      <c r="I403">
        <v>5</v>
      </c>
      <c r="J403">
        <v>0.97</v>
      </c>
      <c r="K403">
        <v>1668.6</v>
      </c>
      <c r="L403" t="s">
        <v>18</v>
      </c>
    </row>
    <row r="404" spans="1:12" x14ac:dyDescent="0.3">
      <c r="A404">
        <v>35</v>
      </c>
      <c r="B404" t="s">
        <v>106</v>
      </c>
      <c r="C404" t="s">
        <v>107</v>
      </c>
      <c r="D404" t="s">
        <v>24</v>
      </c>
      <c r="E404" t="s">
        <v>76</v>
      </c>
      <c r="F404" t="s">
        <v>77</v>
      </c>
      <c r="G404" s="1">
        <v>45839</v>
      </c>
      <c r="H404">
        <v>357</v>
      </c>
      <c r="I404">
        <v>9</v>
      </c>
      <c r="J404">
        <v>0.95</v>
      </c>
      <c r="K404">
        <v>3177.4</v>
      </c>
      <c r="L404" t="s">
        <v>17</v>
      </c>
    </row>
    <row r="405" spans="1:12" x14ac:dyDescent="0.3">
      <c r="A405">
        <v>35</v>
      </c>
      <c r="B405" t="s">
        <v>106</v>
      </c>
      <c r="C405" t="s">
        <v>107</v>
      </c>
      <c r="D405" t="s">
        <v>24</v>
      </c>
      <c r="E405" t="s">
        <v>76</v>
      </c>
      <c r="F405" t="s">
        <v>77</v>
      </c>
      <c r="G405" s="1">
        <v>45870</v>
      </c>
      <c r="H405">
        <v>384</v>
      </c>
      <c r="I405">
        <v>8</v>
      </c>
      <c r="J405">
        <v>0.96</v>
      </c>
      <c r="K405">
        <v>3398.8</v>
      </c>
      <c r="L405" t="s">
        <v>18</v>
      </c>
    </row>
    <row r="406" spans="1:12" x14ac:dyDescent="0.3">
      <c r="A406">
        <v>35</v>
      </c>
      <c r="B406" t="s">
        <v>106</v>
      </c>
      <c r="C406" t="s">
        <v>107</v>
      </c>
      <c r="D406" t="s">
        <v>24</v>
      </c>
      <c r="E406" t="s">
        <v>76</v>
      </c>
      <c r="F406" t="s">
        <v>77</v>
      </c>
      <c r="G406" s="1">
        <v>45901</v>
      </c>
      <c r="H406">
        <v>239</v>
      </c>
      <c r="I406">
        <v>3</v>
      </c>
      <c r="J406">
        <v>0.9</v>
      </c>
      <c r="K406">
        <v>2209.8000000000002</v>
      </c>
      <c r="L406" t="s">
        <v>17</v>
      </c>
    </row>
    <row r="407" spans="1:12" x14ac:dyDescent="0.3">
      <c r="A407">
        <v>35</v>
      </c>
      <c r="B407" t="s">
        <v>106</v>
      </c>
      <c r="C407" t="s">
        <v>107</v>
      </c>
      <c r="D407" t="s">
        <v>24</v>
      </c>
      <c r="E407" t="s">
        <v>76</v>
      </c>
      <c r="F407" t="s">
        <v>77</v>
      </c>
      <c r="G407" s="1">
        <v>45931</v>
      </c>
      <c r="H407">
        <v>312</v>
      </c>
      <c r="I407">
        <v>7</v>
      </c>
      <c r="J407">
        <v>0.91</v>
      </c>
      <c r="K407">
        <v>2808.4</v>
      </c>
      <c r="L407" t="s">
        <v>17</v>
      </c>
    </row>
    <row r="408" spans="1:12" x14ac:dyDescent="0.3">
      <c r="A408">
        <v>35</v>
      </c>
      <c r="B408" t="s">
        <v>106</v>
      </c>
      <c r="C408" t="s">
        <v>107</v>
      </c>
      <c r="D408" t="s">
        <v>24</v>
      </c>
      <c r="E408" t="s">
        <v>76</v>
      </c>
      <c r="F408" t="s">
        <v>77</v>
      </c>
      <c r="G408" s="1">
        <v>45962</v>
      </c>
      <c r="H408">
        <v>172</v>
      </c>
      <c r="I408">
        <v>10</v>
      </c>
      <c r="J408">
        <v>0.88</v>
      </c>
      <c r="K408">
        <v>1660.4</v>
      </c>
      <c r="L408" t="s">
        <v>18</v>
      </c>
    </row>
    <row r="409" spans="1:12" x14ac:dyDescent="0.3">
      <c r="A409">
        <v>35</v>
      </c>
      <c r="B409" t="s">
        <v>106</v>
      </c>
      <c r="C409" t="s">
        <v>107</v>
      </c>
      <c r="D409" t="s">
        <v>24</v>
      </c>
      <c r="E409" t="s">
        <v>76</v>
      </c>
      <c r="F409" t="s">
        <v>77</v>
      </c>
      <c r="G409" s="1">
        <v>45992</v>
      </c>
      <c r="H409">
        <v>223</v>
      </c>
      <c r="I409">
        <v>8</v>
      </c>
      <c r="J409">
        <v>0.88</v>
      </c>
      <c r="K409">
        <v>2078.6</v>
      </c>
      <c r="L409" t="s">
        <v>17</v>
      </c>
    </row>
    <row r="410" spans="1:12" x14ac:dyDescent="0.3">
      <c r="A410">
        <v>36</v>
      </c>
      <c r="B410" t="s">
        <v>108</v>
      </c>
      <c r="C410" t="s">
        <v>109</v>
      </c>
      <c r="D410" t="s">
        <v>32</v>
      </c>
      <c r="E410" t="s">
        <v>15</v>
      </c>
      <c r="F410" t="s">
        <v>16</v>
      </c>
      <c r="G410" s="1">
        <v>45658</v>
      </c>
      <c r="H410">
        <v>344</v>
      </c>
      <c r="I410">
        <v>6</v>
      </c>
      <c r="J410">
        <v>0.86</v>
      </c>
      <c r="K410">
        <v>4112</v>
      </c>
      <c r="L410" t="s">
        <v>18</v>
      </c>
    </row>
    <row r="411" spans="1:12" x14ac:dyDescent="0.3">
      <c r="A411">
        <v>36</v>
      </c>
      <c r="B411" t="s">
        <v>108</v>
      </c>
      <c r="C411" t="s">
        <v>109</v>
      </c>
      <c r="D411" t="s">
        <v>32</v>
      </c>
      <c r="E411" t="s">
        <v>15</v>
      </c>
      <c r="F411" t="s">
        <v>16</v>
      </c>
      <c r="G411" s="1">
        <v>45689</v>
      </c>
      <c r="H411">
        <v>273</v>
      </c>
      <c r="I411">
        <v>3</v>
      </c>
      <c r="J411">
        <v>0.94</v>
      </c>
      <c r="K411">
        <v>3366.5</v>
      </c>
      <c r="L411" t="s">
        <v>18</v>
      </c>
    </row>
    <row r="412" spans="1:12" x14ac:dyDescent="0.3">
      <c r="A412">
        <v>36</v>
      </c>
      <c r="B412" t="s">
        <v>108</v>
      </c>
      <c r="C412" t="s">
        <v>109</v>
      </c>
      <c r="D412" t="s">
        <v>32</v>
      </c>
      <c r="E412" t="s">
        <v>15</v>
      </c>
      <c r="F412" t="s">
        <v>16</v>
      </c>
      <c r="G412" s="1">
        <v>45717</v>
      </c>
      <c r="H412">
        <v>303</v>
      </c>
      <c r="I412">
        <v>7</v>
      </c>
      <c r="J412">
        <v>0.95</v>
      </c>
      <c r="K412">
        <v>3681.5</v>
      </c>
      <c r="L412" t="s">
        <v>18</v>
      </c>
    </row>
    <row r="413" spans="1:12" x14ac:dyDescent="0.3">
      <c r="A413">
        <v>36</v>
      </c>
      <c r="B413" t="s">
        <v>108</v>
      </c>
      <c r="C413" t="s">
        <v>109</v>
      </c>
      <c r="D413" t="s">
        <v>32</v>
      </c>
      <c r="E413" t="s">
        <v>15</v>
      </c>
      <c r="F413" t="s">
        <v>16</v>
      </c>
      <c r="G413" s="1">
        <v>45748</v>
      </c>
      <c r="H413">
        <v>377</v>
      </c>
      <c r="I413">
        <v>6</v>
      </c>
      <c r="J413">
        <v>0.98</v>
      </c>
      <c r="K413">
        <v>4458.5</v>
      </c>
      <c r="L413" t="s">
        <v>18</v>
      </c>
    </row>
    <row r="414" spans="1:12" x14ac:dyDescent="0.3">
      <c r="A414">
        <v>36</v>
      </c>
      <c r="B414" t="s">
        <v>108</v>
      </c>
      <c r="C414" t="s">
        <v>109</v>
      </c>
      <c r="D414" t="s">
        <v>32</v>
      </c>
      <c r="E414" t="s">
        <v>15</v>
      </c>
      <c r="F414" t="s">
        <v>16</v>
      </c>
      <c r="G414" s="1">
        <v>45778</v>
      </c>
      <c r="H414">
        <v>239</v>
      </c>
      <c r="I414">
        <v>7</v>
      </c>
      <c r="J414">
        <v>0.96</v>
      </c>
      <c r="K414">
        <v>3009.5</v>
      </c>
      <c r="L414" t="s">
        <v>17</v>
      </c>
    </row>
    <row r="415" spans="1:12" x14ac:dyDescent="0.3">
      <c r="A415">
        <v>36</v>
      </c>
      <c r="B415" t="s">
        <v>108</v>
      </c>
      <c r="C415" t="s">
        <v>109</v>
      </c>
      <c r="D415" t="s">
        <v>32</v>
      </c>
      <c r="E415" t="s">
        <v>15</v>
      </c>
      <c r="F415" t="s">
        <v>16</v>
      </c>
      <c r="G415" s="1">
        <v>45809</v>
      </c>
      <c r="H415">
        <v>285</v>
      </c>
      <c r="I415">
        <v>7</v>
      </c>
      <c r="J415">
        <v>0.88</v>
      </c>
      <c r="K415">
        <v>3492.5</v>
      </c>
      <c r="L415" t="s">
        <v>18</v>
      </c>
    </row>
    <row r="416" spans="1:12" x14ac:dyDescent="0.3">
      <c r="A416">
        <v>36</v>
      </c>
      <c r="B416" t="s">
        <v>108</v>
      </c>
      <c r="C416" t="s">
        <v>109</v>
      </c>
      <c r="D416" t="s">
        <v>32</v>
      </c>
      <c r="E416" t="s">
        <v>15</v>
      </c>
      <c r="F416" t="s">
        <v>16</v>
      </c>
      <c r="G416" s="1">
        <v>45839</v>
      </c>
      <c r="H416">
        <v>356</v>
      </c>
      <c r="I416">
        <v>5</v>
      </c>
      <c r="J416">
        <v>0.95</v>
      </c>
      <c r="K416">
        <v>4238</v>
      </c>
      <c r="L416" t="s">
        <v>17</v>
      </c>
    </row>
    <row r="417" spans="1:12" x14ac:dyDescent="0.3">
      <c r="A417">
        <v>36</v>
      </c>
      <c r="B417" t="s">
        <v>108</v>
      </c>
      <c r="C417" t="s">
        <v>109</v>
      </c>
      <c r="D417" t="s">
        <v>32</v>
      </c>
      <c r="E417" t="s">
        <v>15</v>
      </c>
      <c r="F417" t="s">
        <v>16</v>
      </c>
      <c r="G417" s="1">
        <v>45870</v>
      </c>
      <c r="H417">
        <v>387</v>
      </c>
      <c r="I417">
        <v>9</v>
      </c>
      <c r="J417">
        <v>0.99</v>
      </c>
      <c r="K417">
        <v>4563.5</v>
      </c>
      <c r="L417" t="s">
        <v>18</v>
      </c>
    </row>
    <row r="418" spans="1:12" x14ac:dyDescent="0.3">
      <c r="A418">
        <v>36</v>
      </c>
      <c r="B418" t="s">
        <v>108</v>
      </c>
      <c r="C418" t="s">
        <v>109</v>
      </c>
      <c r="D418" t="s">
        <v>32</v>
      </c>
      <c r="E418" t="s">
        <v>15</v>
      </c>
      <c r="F418" t="s">
        <v>16</v>
      </c>
      <c r="G418" s="1">
        <v>45901</v>
      </c>
      <c r="H418">
        <v>186</v>
      </c>
      <c r="I418">
        <v>7</v>
      </c>
      <c r="J418">
        <v>0.87</v>
      </c>
      <c r="K418">
        <v>2453</v>
      </c>
      <c r="L418" t="s">
        <v>18</v>
      </c>
    </row>
    <row r="419" spans="1:12" x14ac:dyDescent="0.3">
      <c r="A419">
        <v>36</v>
      </c>
      <c r="B419" t="s">
        <v>108</v>
      </c>
      <c r="C419" t="s">
        <v>109</v>
      </c>
      <c r="D419" t="s">
        <v>32</v>
      </c>
      <c r="E419" t="s">
        <v>15</v>
      </c>
      <c r="F419" t="s">
        <v>16</v>
      </c>
      <c r="G419" s="1">
        <v>45931</v>
      </c>
      <c r="H419">
        <v>199</v>
      </c>
      <c r="I419">
        <v>3</v>
      </c>
      <c r="J419">
        <v>0.91</v>
      </c>
      <c r="K419">
        <v>2589.5</v>
      </c>
      <c r="L419" t="s">
        <v>18</v>
      </c>
    </row>
    <row r="420" spans="1:12" x14ac:dyDescent="0.3">
      <c r="A420">
        <v>36</v>
      </c>
      <c r="B420" t="s">
        <v>108</v>
      </c>
      <c r="C420" t="s">
        <v>109</v>
      </c>
      <c r="D420" t="s">
        <v>32</v>
      </c>
      <c r="E420" t="s">
        <v>15</v>
      </c>
      <c r="F420" t="s">
        <v>16</v>
      </c>
      <c r="G420" s="1">
        <v>45962</v>
      </c>
      <c r="H420">
        <v>191</v>
      </c>
      <c r="I420">
        <v>3</v>
      </c>
      <c r="J420">
        <v>0.85</v>
      </c>
      <c r="K420">
        <v>2505.5</v>
      </c>
      <c r="L420" t="s">
        <v>18</v>
      </c>
    </row>
    <row r="421" spans="1:12" x14ac:dyDescent="0.3">
      <c r="A421">
        <v>36</v>
      </c>
      <c r="B421" t="s">
        <v>108</v>
      </c>
      <c r="C421" t="s">
        <v>109</v>
      </c>
      <c r="D421" t="s">
        <v>32</v>
      </c>
      <c r="E421" t="s">
        <v>15</v>
      </c>
      <c r="F421" t="s">
        <v>16</v>
      </c>
      <c r="G421" s="1">
        <v>45992</v>
      </c>
      <c r="H421">
        <v>325</v>
      </c>
      <c r="I421">
        <v>6</v>
      </c>
      <c r="J421">
        <v>0.98</v>
      </c>
      <c r="K421">
        <v>3912.5</v>
      </c>
      <c r="L421" t="s">
        <v>18</v>
      </c>
    </row>
    <row r="422" spans="1:12" x14ac:dyDescent="0.3">
      <c r="A422">
        <v>37</v>
      </c>
      <c r="B422" t="s">
        <v>110</v>
      </c>
      <c r="C422" t="s">
        <v>111</v>
      </c>
      <c r="D422" t="s">
        <v>42</v>
      </c>
      <c r="E422" t="s">
        <v>21</v>
      </c>
      <c r="F422" t="s">
        <v>16</v>
      </c>
      <c r="G422" s="1">
        <v>45658</v>
      </c>
      <c r="H422">
        <v>235</v>
      </c>
      <c r="I422">
        <v>2</v>
      </c>
      <c r="J422">
        <v>0.87</v>
      </c>
      <c r="K422">
        <v>1203</v>
      </c>
      <c r="L422" t="s">
        <v>18</v>
      </c>
    </row>
    <row r="423" spans="1:12" x14ac:dyDescent="0.3">
      <c r="A423">
        <v>37</v>
      </c>
      <c r="B423" t="s">
        <v>110</v>
      </c>
      <c r="C423" t="s">
        <v>111</v>
      </c>
      <c r="D423" t="s">
        <v>42</v>
      </c>
      <c r="E423" t="s">
        <v>21</v>
      </c>
      <c r="F423" t="s">
        <v>16</v>
      </c>
      <c r="G423" s="1">
        <v>45689</v>
      </c>
      <c r="H423">
        <v>192</v>
      </c>
      <c r="I423">
        <v>6</v>
      </c>
      <c r="J423">
        <v>0.91</v>
      </c>
      <c r="K423">
        <v>996.6</v>
      </c>
      <c r="L423" t="s">
        <v>18</v>
      </c>
    </row>
    <row r="424" spans="1:12" x14ac:dyDescent="0.3">
      <c r="A424">
        <v>37</v>
      </c>
      <c r="B424" t="s">
        <v>110</v>
      </c>
      <c r="C424" t="s">
        <v>111</v>
      </c>
      <c r="D424" t="s">
        <v>42</v>
      </c>
      <c r="E424" t="s">
        <v>21</v>
      </c>
      <c r="F424" t="s">
        <v>16</v>
      </c>
      <c r="G424" s="1">
        <v>45717</v>
      </c>
      <c r="H424">
        <v>239</v>
      </c>
      <c r="I424">
        <v>10</v>
      </c>
      <c r="J424">
        <v>0.89</v>
      </c>
      <c r="K424">
        <v>1222.2</v>
      </c>
      <c r="L424" t="s">
        <v>18</v>
      </c>
    </row>
    <row r="425" spans="1:12" x14ac:dyDescent="0.3">
      <c r="A425">
        <v>37</v>
      </c>
      <c r="B425" t="s">
        <v>110</v>
      </c>
      <c r="C425" t="s">
        <v>111</v>
      </c>
      <c r="D425" t="s">
        <v>42</v>
      </c>
      <c r="E425" t="s">
        <v>21</v>
      </c>
      <c r="F425" t="s">
        <v>16</v>
      </c>
      <c r="G425" s="1">
        <v>45748</v>
      </c>
      <c r="H425">
        <v>329</v>
      </c>
      <c r="I425">
        <v>7</v>
      </c>
      <c r="J425">
        <v>0.92</v>
      </c>
      <c r="K425">
        <v>1654.2</v>
      </c>
      <c r="L425" t="s">
        <v>18</v>
      </c>
    </row>
    <row r="426" spans="1:12" x14ac:dyDescent="0.3">
      <c r="A426">
        <v>37</v>
      </c>
      <c r="B426" t="s">
        <v>110</v>
      </c>
      <c r="C426" t="s">
        <v>111</v>
      </c>
      <c r="D426" t="s">
        <v>42</v>
      </c>
      <c r="E426" t="s">
        <v>21</v>
      </c>
      <c r="F426" t="s">
        <v>16</v>
      </c>
      <c r="G426" s="1">
        <v>45778</v>
      </c>
      <c r="H426">
        <v>196</v>
      </c>
      <c r="I426">
        <v>3</v>
      </c>
      <c r="J426">
        <v>0.89</v>
      </c>
      <c r="K426">
        <v>1015.8</v>
      </c>
      <c r="L426" t="s">
        <v>18</v>
      </c>
    </row>
    <row r="427" spans="1:12" x14ac:dyDescent="0.3">
      <c r="A427">
        <v>37</v>
      </c>
      <c r="B427" t="s">
        <v>110</v>
      </c>
      <c r="C427" t="s">
        <v>111</v>
      </c>
      <c r="D427" t="s">
        <v>42</v>
      </c>
      <c r="E427" t="s">
        <v>21</v>
      </c>
      <c r="F427" t="s">
        <v>16</v>
      </c>
      <c r="G427" s="1">
        <v>45809</v>
      </c>
      <c r="H427">
        <v>309</v>
      </c>
      <c r="I427">
        <v>4</v>
      </c>
      <c r="J427">
        <v>0.92</v>
      </c>
      <c r="K427">
        <v>1558.2</v>
      </c>
      <c r="L427" t="s">
        <v>18</v>
      </c>
    </row>
    <row r="428" spans="1:12" x14ac:dyDescent="0.3">
      <c r="A428">
        <v>37</v>
      </c>
      <c r="B428" t="s">
        <v>110</v>
      </c>
      <c r="C428" t="s">
        <v>111</v>
      </c>
      <c r="D428" t="s">
        <v>42</v>
      </c>
      <c r="E428" t="s">
        <v>21</v>
      </c>
      <c r="F428" t="s">
        <v>16</v>
      </c>
      <c r="G428" s="1">
        <v>45839</v>
      </c>
      <c r="H428">
        <v>161</v>
      </c>
      <c r="I428">
        <v>4</v>
      </c>
      <c r="J428">
        <v>0.99</v>
      </c>
      <c r="K428">
        <v>847.8</v>
      </c>
      <c r="L428" t="s">
        <v>18</v>
      </c>
    </row>
    <row r="429" spans="1:12" x14ac:dyDescent="0.3">
      <c r="A429">
        <v>37</v>
      </c>
      <c r="B429" t="s">
        <v>110</v>
      </c>
      <c r="C429" t="s">
        <v>111</v>
      </c>
      <c r="D429" t="s">
        <v>42</v>
      </c>
      <c r="E429" t="s">
        <v>21</v>
      </c>
      <c r="F429" t="s">
        <v>16</v>
      </c>
      <c r="G429" s="1">
        <v>45870</v>
      </c>
      <c r="H429">
        <v>353</v>
      </c>
      <c r="I429">
        <v>10</v>
      </c>
      <c r="J429">
        <v>0.94</v>
      </c>
      <c r="K429">
        <v>1769.4</v>
      </c>
      <c r="L429" t="s">
        <v>18</v>
      </c>
    </row>
    <row r="430" spans="1:12" x14ac:dyDescent="0.3">
      <c r="A430">
        <v>37</v>
      </c>
      <c r="B430" t="s">
        <v>110</v>
      </c>
      <c r="C430" t="s">
        <v>111</v>
      </c>
      <c r="D430" t="s">
        <v>42</v>
      </c>
      <c r="E430" t="s">
        <v>21</v>
      </c>
      <c r="F430" t="s">
        <v>16</v>
      </c>
      <c r="G430" s="1">
        <v>45901</v>
      </c>
      <c r="H430">
        <v>400</v>
      </c>
      <c r="I430">
        <v>7</v>
      </c>
      <c r="J430">
        <v>0.98</v>
      </c>
      <c r="K430">
        <v>1995</v>
      </c>
      <c r="L430" t="s">
        <v>18</v>
      </c>
    </row>
    <row r="431" spans="1:12" x14ac:dyDescent="0.3">
      <c r="A431">
        <v>37</v>
      </c>
      <c r="B431" t="s">
        <v>110</v>
      </c>
      <c r="C431" t="s">
        <v>111</v>
      </c>
      <c r="D431" t="s">
        <v>42</v>
      </c>
      <c r="E431" t="s">
        <v>21</v>
      </c>
      <c r="F431" t="s">
        <v>16</v>
      </c>
      <c r="G431" s="1">
        <v>45931</v>
      </c>
      <c r="H431">
        <v>380</v>
      </c>
      <c r="I431">
        <v>9</v>
      </c>
      <c r="J431">
        <v>0.98</v>
      </c>
      <c r="K431">
        <v>1899</v>
      </c>
      <c r="L431" t="s">
        <v>18</v>
      </c>
    </row>
    <row r="432" spans="1:12" x14ac:dyDescent="0.3">
      <c r="A432">
        <v>37</v>
      </c>
      <c r="B432" t="s">
        <v>110</v>
      </c>
      <c r="C432" t="s">
        <v>111</v>
      </c>
      <c r="D432" t="s">
        <v>42</v>
      </c>
      <c r="E432" t="s">
        <v>21</v>
      </c>
      <c r="F432" t="s">
        <v>16</v>
      </c>
      <c r="G432" s="1">
        <v>45962</v>
      </c>
      <c r="H432">
        <v>301</v>
      </c>
      <c r="I432">
        <v>5</v>
      </c>
      <c r="J432">
        <v>0.85</v>
      </c>
      <c r="K432">
        <v>1519.8</v>
      </c>
      <c r="L432" t="s">
        <v>18</v>
      </c>
    </row>
    <row r="433" spans="1:12" x14ac:dyDescent="0.3">
      <c r="A433">
        <v>37</v>
      </c>
      <c r="B433" t="s">
        <v>110</v>
      </c>
      <c r="C433" t="s">
        <v>111</v>
      </c>
      <c r="D433" t="s">
        <v>42</v>
      </c>
      <c r="E433" t="s">
        <v>21</v>
      </c>
      <c r="F433" t="s">
        <v>16</v>
      </c>
      <c r="G433" s="1">
        <v>45992</v>
      </c>
      <c r="H433">
        <v>264</v>
      </c>
      <c r="I433">
        <v>8</v>
      </c>
      <c r="J433">
        <v>0.85</v>
      </c>
      <c r="K433">
        <v>1342.2</v>
      </c>
      <c r="L433" t="s">
        <v>18</v>
      </c>
    </row>
    <row r="434" spans="1:12" x14ac:dyDescent="0.3">
      <c r="A434">
        <v>38</v>
      </c>
      <c r="B434" t="s">
        <v>112</v>
      </c>
      <c r="C434" t="s">
        <v>113</v>
      </c>
      <c r="D434" t="s">
        <v>14</v>
      </c>
      <c r="E434" t="s">
        <v>39</v>
      </c>
      <c r="F434" t="s">
        <v>16</v>
      </c>
      <c r="G434" s="1">
        <v>45658</v>
      </c>
      <c r="H434">
        <v>381</v>
      </c>
      <c r="I434">
        <v>5</v>
      </c>
      <c r="J434">
        <v>0.93</v>
      </c>
      <c r="K434">
        <v>2576.5</v>
      </c>
      <c r="L434" t="s">
        <v>18</v>
      </c>
    </row>
    <row r="435" spans="1:12" x14ac:dyDescent="0.3">
      <c r="A435">
        <v>38</v>
      </c>
      <c r="B435" t="s">
        <v>112</v>
      </c>
      <c r="C435" t="s">
        <v>113</v>
      </c>
      <c r="D435" t="s">
        <v>14</v>
      </c>
      <c r="E435" t="s">
        <v>39</v>
      </c>
      <c r="F435" t="s">
        <v>16</v>
      </c>
      <c r="G435" s="1">
        <v>45689</v>
      </c>
      <c r="H435">
        <v>235</v>
      </c>
      <c r="I435">
        <v>7</v>
      </c>
      <c r="J435">
        <v>0.85</v>
      </c>
      <c r="K435">
        <v>1627.5</v>
      </c>
      <c r="L435" t="s">
        <v>18</v>
      </c>
    </row>
    <row r="436" spans="1:12" x14ac:dyDescent="0.3">
      <c r="A436">
        <v>38</v>
      </c>
      <c r="B436" t="s">
        <v>112</v>
      </c>
      <c r="C436" t="s">
        <v>113</v>
      </c>
      <c r="D436" t="s">
        <v>14</v>
      </c>
      <c r="E436" t="s">
        <v>39</v>
      </c>
      <c r="F436" t="s">
        <v>16</v>
      </c>
      <c r="G436" s="1">
        <v>45717</v>
      </c>
      <c r="H436">
        <v>327</v>
      </c>
      <c r="I436">
        <v>4</v>
      </c>
      <c r="J436">
        <v>0.92</v>
      </c>
      <c r="K436">
        <v>2225.5</v>
      </c>
      <c r="L436" t="s">
        <v>18</v>
      </c>
    </row>
    <row r="437" spans="1:12" x14ac:dyDescent="0.3">
      <c r="A437">
        <v>38</v>
      </c>
      <c r="B437" t="s">
        <v>112</v>
      </c>
      <c r="C437" t="s">
        <v>113</v>
      </c>
      <c r="D437" t="s">
        <v>14</v>
      </c>
      <c r="E437" t="s">
        <v>39</v>
      </c>
      <c r="F437" t="s">
        <v>16</v>
      </c>
      <c r="G437" s="1">
        <v>45748</v>
      </c>
      <c r="H437">
        <v>300</v>
      </c>
      <c r="I437">
        <v>7</v>
      </c>
      <c r="J437">
        <v>0.94</v>
      </c>
      <c r="K437">
        <v>2050</v>
      </c>
      <c r="L437" t="s">
        <v>18</v>
      </c>
    </row>
    <row r="438" spans="1:12" x14ac:dyDescent="0.3">
      <c r="A438">
        <v>38</v>
      </c>
      <c r="B438" t="s">
        <v>112</v>
      </c>
      <c r="C438" t="s">
        <v>113</v>
      </c>
      <c r="D438" t="s">
        <v>14</v>
      </c>
      <c r="E438" t="s">
        <v>39</v>
      </c>
      <c r="F438" t="s">
        <v>16</v>
      </c>
      <c r="G438" s="1">
        <v>45778</v>
      </c>
      <c r="H438">
        <v>263</v>
      </c>
      <c r="I438">
        <v>9</v>
      </c>
      <c r="J438">
        <v>0.95</v>
      </c>
      <c r="K438">
        <v>1809.5</v>
      </c>
      <c r="L438" t="s">
        <v>18</v>
      </c>
    </row>
    <row r="439" spans="1:12" x14ac:dyDescent="0.3">
      <c r="A439">
        <v>38</v>
      </c>
      <c r="B439" t="s">
        <v>112</v>
      </c>
      <c r="C439" t="s">
        <v>113</v>
      </c>
      <c r="D439" t="s">
        <v>14</v>
      </c>
      <c r="E439" t="s">
        <v>39</v>
      </c>
      <c r="F439" t="s">
        <v>16</v>
      </c>
      <c r="G439" s="1">
        <v>45809</v>
      </c>
      <c r="H439">
        <v>381</v>
      </c>
      <c r="I439">
        <v>8</v>
      </c>
      <c r="J439">
        <v>0.95</v>
      </c>
      <c r="K439">
        <v>2576.5</v>
      </c>
      <c r="L439" t="s">
        <v>18</v>
      </c>
    </row>
    <row r="440" spans="1:12" x14ac:dyDescent="0.3">
      <c r="A440">
        <v>38</v>
      </c>
      <c r="B440" t="s">
        <v>112</v>
      </c>
      <c r="C440" t="s">
        <v>113</v>
      </c>
      <c r="D440" t="s">
        <v>14</v>
      </c>
      <c r="E440" t="s">
        <v>39</v>
      </c>
      <c r="F440" t="s">
        <v>16</v>
      </c>
      <c r="G440" s="1">
        <v>45839</v>
      </c>
      <c r="H440">
        <v>244</v>
      </c>
      <c r="I440">
        <v>4</v>
      </c>
      <c r="J440">
        <v>0.9</v>
      </c>
      <c r="K440">
        <v>1686</v>
      </c>
      <c r="L440" t="s">
        <v>18</v>
      </c>
    </row>
    <row r="441" spans="1:12" x14ac:dyDescent="0.3">
      <c r="A441">
        <v>38</v>
      </c>
      <c r="B441" t="s">
        <v>112</v>
      </c>
      <c r="C441" t="s">
        <v>113</v>
      </c>
      <c r="D441" t="s">
        <v>14</v>
      </c>
      <c r="E441" t="s">
        <v>39</v>
      </c>
      <c r="F441" t="s">
        <v>16</v>
      </c>
      <c r="G441" s="1">
        <v>45870</v>
      </c>
      <c r="H441">
        <v>161</v>
      </c>
      <c r="I441">
        <v>4</v>
      </c>
      <c r="J441">
        <v>0.95</v>
      </c>
      <c r="K441">
        <v>1146.5</v>
      </c>
      <c r="L441" t="s">
        <v>18</v>
      </c>
    </row>
    <row r="442" spans="1:12" x14ac:dyDescent="0.3">
      <c r="A442">
        <v>38</v>
      </c>
      <c r="B442" t="s">
        <v>112</v>
      </c>
      <c r="C442" t="s">
        <v>113</v>
      </c>
      <c r="D442" t="s">
        <v>14</v>
      </c>
      <c r="E442" t="s">
        <v>39</v>
      </c>
      <c r="F442" t="s">
        <v>16</v>
      </c>
      <c r="G442" s="1">
        <v>45901</v>
      </c>
      <c r="H442">
        <v>184</v>
      </c>
      <c r="I442">
        <v>7</v>
      </c>
      <c r="J442">
        <v>0.91</v>
      </c>
      <c r="K442">
        <v>1296</v>
      </c>
      <c r="L442" t="s">
        <v>18</v>
      </c>
    </row>
    <row r="443" spans="1:12" x14ac:dyDescent="0.3">
      <c r="A443">
        <v>38</v>
      </c>
      <c r="B443" t="s">
        <v>112</v>
      </c>
      <c r="C443" t="s">
        <v>113</v>
      </c>
      <c r="D443" t="s">
        <v>14</v>
      </c>
      <c r="E443" t="s">
        <v>39</v>
      </c>
      <c r="F443" t="s">
        <v>16</v>
      </c>
      <c r="G443" s="1">
        <v>45931</v>
      </c>
      <c r="H443">
        <v>336</v>
      </c>
      <c r="I443">
        <v>6</v>
      </c>
      <c r="J443">
        <v>0.96</v>
      </c>
      <c r="K443">
        <v>2284</v>
      </c>
      <c r="L443" t="s">
        <v>18</v>
      </c>
    </row>
    <row r="444" spans="1:12" x14ac:dyDescent="0.3">
      <c r="A444">
        <v>38</v>
      </c>
      <c r="B444" t="s">
        <v>112</v>
      </c>
      <c r="C444" t="s">
        <v>113</v>
      </c>
      <c r="D444" t="s">
        <v>14</v>
      </c>
      <c r="E444" t="s">
        <v>39</v>
      </c>
      <c r="F444" t="s">
        <v>16</v>
      </c>
      <c r="G444" s="1">
        <v>45962</v>
      </c>
      <c r="H444">
        <v>389</v>
      </c>
      <c r="I444">
        <v>2</v>
      </c>
      <c r="J444">
        <v>0.91</v>
      </c>
      <c r="K444">
        <v>2628.5</v>
      </c>
      <c r="L444" t="s">
        <v>17</v>
      </c>
    </row>
    <row r="445" spans="1:12" x14ac:dyDescent="0.3">
      <c r="A445">
        <v>38</v>
      </c>
      <c r="B445" t="s">
        <v>112</v>
      </c>
      <c r="C445" t="s">
        <v>113</v>
      </c>
      <c r="D445" t="s">
        <v>14</v>
      </c>
      <c r="E445" t="s">
        <v>39</v>
      </c>
      <c r="F445" t="s">
        <v>16</v>
      </c>
      <c r="G445" s="1">
        <v>45992</v>
      </c>
      <c r="H445">
        <v>228</v>
      </c>
      <c r="I445">
        <v>3</v>
      </c>
      <c r="J445">
        <v>0.9</v>
      </c>
      <c r="K445">
        <v>1582</v>
      </c>
      <c r="L445" t="s">
        <v>18</v>
      </c>
    </row>
    <row r="446" spans="1:12" x14ac:dyDescent="0.3">
      <c r="A446">
        <v>39</v>
      </c>
      <c r="B446" t="s">
        <v>114</v>
      </c>
      <c r="C446" t="s">
        <v>115</v>
      </c>
      <c r="D446" t="s">
        <v>24</v>
      </c>
      <c r="E446" t="s">
        <v>25</v>
      </c>
      <c r="F446" t="s">
        <v>26</v>
      </c>
      <c r="G446" s="1">
        <v>45658</v>
      </c>
      <c r="H446">
        <v>358</v>
      </c>
      <c r="I446">
        <v>8</v>
      </c>
      <c r="J446">
        <v>0.97</v>
      </c>
      <c r="K446">
        <v>3185.6</v>
      </c>
      <c r="L446" t="s">
        <v>18</v>
      </c>
    </row>
    <row r="447" spans="1:12" x14ac:dyDescent="0.3">
      <c r="A447">
        <v>39</v>
      </c>
      <c r="B447" t="s">
        <v>114</v>
      </c>
      <c r="C447" t="s">
        <v>115</v>
      </c>
      <c r="D447" t="s">
        <v>24</v>
      </c>
      <c r="E447" t="s">
        <v>25</v>
      </c>
      <c r="F447" t="s">
        <v>26</v>
      </c>
      <c r="G447" s="1">
        <v>45689</v>
      </c>
      <c r="H447">
        <v>234</v>
      </c>
      <c r="I447">
        <v>8</v>
      </c>
      <c r="J447">
        <v>0.96</v>
      </c>
      <c r="K447">
        <v>2168.8000000000002</v>
      </c>
      <c r="L447" t="s">
        <v>18</v>
      </c>
    </row>
    <row r="448" spans="1:12" x14ac:dyDescent="0.3">
      <c r="A448">
        <v>39</v>
      </c>
      <c r="B448" t="s">
        <v>114</v>
      </c>
      <c r="C448" t="s">
        <v>115</v>
      </c>
      <c r="D448" t="s">
        <v>24</v>
      </c>
      <c r="E448" t="s">
        <v>25</v>
      </c>
      <c r="F448" t="s">
        <v>26</v>
      </c>
      <c r="G448" s="1">
        <v>45717</v>
      </c>
      <c r="H448">
        <v>398</v>
      </c>
      <c r="I448">
        <v>3</v>
      </c>
      <c r="J448">
        <v>0.89</v>
      </c>
      <c r="K448">
        <v>3513.6</v>
      </c>
      <c r="L448" t="s">
        <v>18</v>
      </c>
    </row>
    <row r="449" spans="1:12" x14ac:dyDescent="0.3">
      <c r="A449">
        <v>39</v>
      </c>
      <c r="B449" t="s">
        <v>114</v>
      </c>
      <c r="C449" t="s">
        <v>115</v>
      </c>
      <c r="D449" t="s">
        <v>24</v>
      </c>
      <c r="E449" t="s">
        <v>25</v>
      </c>
      <c r="F449" t="s">
        <v>26</v>
      </c>
      <c r="G449" s="1">
        <v>45748</v>
      </c>
      <c r="H449">
        <v>248</v>
      </c>
      <c r="I449">
        <v>9</v>
      </c>
      <c r="J449">
        <v>0.88</v>
      </c>
      <c r="K449">
        <v>2283.6</v>
      </c>
      <c r="L449" t="s">
        <v>18</v>
      </c>
    </row>
    <row r="450" spans="1:12" x14ac:dyDescent="0.3">
      <c r="A450">
        <v>39</v>
      </c>
      <c r="B450" t="s">
        <v>114</v>
      </c>
      <c r="C450" t="s">
        <v>115</v>
      </c>
      <c r="D450" t="s">
        <v>24</v>
      </c>
      <c r="E450" t="s">
        <v>25</v>
      </c>
      <c r="F450" t="s">
        <v>26</v>
      </c>
      <c r="G450" s="1">
        <v>45778</v>
      </c>
      <c r="H450">
        <v>308</v>
      </c>
      <c r="I450">
        <v>5</v>
      </c>
      <c r="J450">
        <v>0.99</v>
      </c>
      <c r="K450">
        <v>2775.6</v>
      </c>
      <c r="L450" t="s">
        <v>18</v>
      </c>
    </row>
    <row r="451" spans="1:12" x14ac:dyDescent="0.3">
      <c r="A451">
        <v>39</v>
      </c>
      <c r="B451" t="s">
        <v>114</v>
      </c>
      <c r="C451" t="s">
        <v>115</v>
      </c>
      <c r="D451" t="s">
        <v>24</v>
      </c>
      <c r="E451" t="s">
        <v>25</v>
      </c>
      <c r="F451" t="s">
        <v>26</v>
      </c>
      <c r="G451" s="1">
        <v>45809</v>
      </c>
      <c r="H451">
        <v>188</v>
      </c>
      <c r="I451">
        <v>3</v>
      </c>
      <c r="J451">
        <v>0.93</v>
      </c>
      <c r="K451">
        <v>1791.6</v>
      </c>
      <c r="L451" t="s">
        <v>18</v>
      </c>
    </row>
    <row r="452" spans="1:12" x14ac:dyDescent="0.3">
      <c r="A452">
        <v>39</v>
      </c>
      <c r="B452" t="s">
        <v>114</v>
      </c>
      <c r="C452" t="s">
        <v>115</v>
      </c>
      <c r="D452" t="s">
        <v>24</v>
      </c>
      <c r="E452" t="s">
        <v>25</v>
      </c>
      <c r="F452" t="s">
        <v>26</v>
      </c>
      <c r="G452" s="1">
        <v>45839</v>
      </c>
      <c r="H452">
        <v>206</v>
      </c>
      <c r="I452">
        <v>5</v>
      </c>
      <c r="J452">
        <v>0.96</v>
      </c>
      <c r="K452">
        <v>1939.2</v>
      </c>
      <c r="L452" t="s">
        <v>18</v>
      </c>
    </row>
    <row r="453" spans="1:12" x14ac:dyDescent="0.3">
      <c r="A453">
        <v>39</v>
      </c>
      <c r="B453" t="s">
        <v>114</v>
      </c>
      <c r="C453" t="s">
        <v>115</v>
      </c>
      <c r="D453" t="s">
        <v>24</v>
      </c>
      <c r="E453" t="s">
        <v>25</v>
      </c>
      <c r="F453" t="s">
        <v>26</v>
      </c>
      <c r="G453" s="1">
        <v>45870</v>
      </c>
      <c r="H453">
        <v>339</v>
      </c>
      <c r="I453">
        <v>8</v>
      </c>
      <c r="J453">
        <v>0.94</v>
      </c>
      <c r="K453">
        <v>3029.8</v>
      </c>
      <c r="L453" t="s">
        <v>17</v>
      </c>
    </row>
    <row r="454" spans="1:12" x14ac:dyDescent="0.3">
      <c r="A454">
        <v>39</v>
      </c>
      <c r="B454" t="s">
        <v>114</v>
      </c>
      <c r="C454" t="s">
        <v>115</v>
      </c>
      <c r="D454" t="s">
        <v>24</v>
      </c>
      <c r="E454" t="s">
        <v>25</v>
      </c>
      <c r="F454" t="s">
        <v>26</v>
      </c>
      <c r="G454" s="1">
        <v>45901</v>
      </c>
      <c r="H454">
        <v>352</v>
      </c>
      <c r="I454">
        <v>9</v>
      </c>
      <c r="J454">
        <v>0.89</v>
      </c>
      <c r="K454">
        <v>3136.4</v>
      </c>
      <c r="L454" t="s">
        <v>17</v>
      </c>
    </row>
    <row r="455" spans="1:12" x14ac:dyDescent="0.3">
      <c r="A455">
        <v>39</v>
      </c>
      <c r="B455" t="s">
        <v>114</v>
      </c>
      <c r="C455" t="s">
        <v>115</v>
      </c>
      <c r="D455" t="s">
        <v>24</v>
      </c>
      <c r="E455" t="s">
        <v>25</v>
      </c>
      <c r="F455" t="s">
        <v>26</v>
      </c>
      <c r="G455" s="1">
        <v>45931</v>
      </c>
      <c r="H455">
        <v>350</v>
      </c>
      <c r="I455">
        <v>9</v>
      </c>
      <c r="J455">
        <v>0.99</v>
      </c>
      <c r="K455">
        <v>3120</v>
      </c>
      <c r="L455" t="s">
        <v>18</v>
      </c>
    </row>
    <row r="456" spans="1:12" x14ac:dyDescent="0.3">
      <c r="A456">
        <v>39</v>
      </c>
      <c r="B456" t="s">
        <v>114</v>
      </c>
      <c r="C456" t="s">
        <v>115</v>
      </c>
      <c r="D456" t="s">
        <v>24</v>
      </c>
      <c r="E456" t="s">
        <v>25</v>
      </c>
      <c r="F456" t="s">
        <v>26</v>
      </c>
      <c r="G456" s="1">
        <v>45962</v>
      </c>
      <c r="H456">
        <v>311</v>
      </c>
      <c r="I456">
        <v>7</v>
      </c>
      <c r="J456">
        <v>0.86</v>
      </c>
      <c r="K456">
        <v>2800.2</v>
      </c>
      <c r="L456" t="s">
        <v>18</v>
      </c>
    </row>
    <row r="457" spans="1:12" x14ac:dyDescent="0.3">
      <c r="A457">
        <v>39</v>
      </c>
      <c r="B457" t="s">
        <v>114</v>
      </c>
      <c r="C457" t="s">
        <v>115</v>
      </c>
      <c r="D457" t="s">
        <v>24</v>
      </c>
      <c r="E457" t="s">
        <v>25</v>
      </c>
      <c r="F457" t="s">
        <v>26</v>
      </c>
      <c r="G457" s="1">
        <v>45992</v>
      </c>
      <c r="H457">
        <v>216</v>
      </c>
      <c r="I457">
        <v>10</v>
      </c>
      <c r="J457">
        <v>0.97</v>
      </c>
      <c r="K457">
        <v>2021.2</v>
      </c>
      <c r="L457" t="s">
        <v>17</v>
      </c>
    </row>
    <row r="458" spans="1:12" x14ac:dyDescent="0.3">
      <c r="A458">
        <v>40</v>
      </c>
      <c r="B458" t="s">
        <v>116</v>
      </c>
      <c r="C458" t="s">
        <v>117</v>
      </c>
      <c r="D458" t="s">
        <v>32</v>
      </c>
      <c r="E458" t="s">
        <v>29</v>
      </c>
      <c r="F458" t="s">
        <v>26</v>
      </c>
      <c r="G458" s="1">
        <v>45658</v>
      </c>
      <c r="H458">
        <v>384</v>
      </c>
      <c r="I458">
        <v>8</v>
      </c>
      <c r="J458">
        <v>0.89</v>
      </c>
      <c r="K458">
        <v>4532</v>
      </c>
      <c r="L458" t="s">
        <v>18</v>
      </c>
    </row>
    <row r="459" spans="1:12" x14ac:dyDescent="0.3">
      <c r="A459">
        <v>40</v>
      </c>
      <c r="B459" t="s">
        <v>116</v>
      </c>
      <c r="C459" t="s">
        <v>117</v>
      </c>
      <c r="D459" t="s">
        <v>32</v>
      </c>
      <c r="E459" t="s">
        <v>29</v>
      </c>
      <c r="F459" t="s">
        <v>26</v>
      </c>
      <c r="G459" s="1">
        <v>45689</v>
      </c>
      <c r="H459">
        <v>188</v>
      </c>
      <c r="I459">
        <v>2</v>
      </c>
      <c r="J459">
        <v>0.89</v>
      </c>
      <c r="K459">
        <v>2474</v>
      </c>
      <c r="L459" t="s">
        <v>18</v>
      </c>
    </row>
    <row r="460" spans="1:12" x14ac:dyDescent="0.3">
      <c r="A460">
        <v>40</v>
      </c>
      <c r="B460" t="s">
        <v>116</v>
      </c>
      <c r="C460" t="s">
        <v>117</v>
      </c>
      <c r="D460" t="s">
        <v>32</v>
      </c>
      <c r="E460" t="s">
        <v>29</v>
      </c>
      <c r="F460" t="s">
        <v>26</v>
      </c>
      <c r="G460" s="1">
        <v>45717</v>
      </c>
      <c r="H460">
        <v>159</v>
      </c>
      <c r="I460">
        <v>10</v>
      </c>
      <c r="J460">
        <v>0.87</v>
      </c>
      <c r="K460">
        <v>2169.5</v>
      </c>
      <c r="L460" t="s">
        <v>18</v>
      </c>
    </row>
    <row r="461" spans="1:12" x14ac:dyDescent="0.3">
      <c r="A461">
        <v>40</v>
      </c>
      <c r="B461" t="s">
        <v>116</v>
      </c>
      <c r="C461" t="s">
        <v>117</v>
      </c>
      <c r="D461" t="s">
        <v>32</v>
      </c>
      <c r="E461" t="s">
        <v>29</v>
      </c>
      <c r="F461" t="s">
        <v>26</v>
      </c>
      <c r="G461" s="1">
        <v>45748</v>
      </c>
      <c r="H461">
        <v>209</v>
      </c>
      <c r="I461">
        <v>6</v>
      </c>
      <c r="J461">
        <v>0.99</v>
      </c>
      <c r="K461">
        <v>2694.5</v>
      </c>
      <c r="L461" t="s">
        <v>18</v>
      </c>
    </row>
    <row r="462" spans="1:12" x14ac:dyDescent="0.3">
      <c r="A462">
        <v>40</v>
      </c>
      <c r="B462" t="s">
        <v>116</v>
      </c>
      <c r="C462" t="s">
        <v>117</v>
      </c>
      <c r="D462" t="s">
        <v>32</v>
      </c>
      <c r="E462" t="s">
        <v>29</v>
      </c>
      <c r="F462" t="s">
        <v>26</v>
      </c>
      <c r="G462" s="1">
        <v>45778</v>
      </c>
      <c r="H462">
        <v>210</v>
      </c>
      <c r="I462">
        <v>5</v>
      </c>
      <c r="J462">
        <v>0.85</v>
      </c>
      <c r="K462">
        <v>2705</v>
      </c>
      <c r="L462" t="s">
        <v>18</v>
      </c>
    </row>
    <row r="463" spans="1:12" x14ac:dyDescent="0.3">
      <c r="A463">
        <v>40</v>
      </c>
      <c r="B463" t="s">
        <v>116</v>
      </c>
      <c r="C463" t="s">
        <v>117</v>
      </c>
      <c r="D463" t="s">
        <v>32</v>
      </c>
      <c r="E463" t="s">
        <v>29</v>
      </c>
      <c r="F463" t="s">
        <v>26</v>
      </c>
      <c r="G463" s="1">
        <v>45809</v>
      </c>
      <c r="H463">
        <v>273</v>
      </c>
      <c r="I463">
        <v>8</v>
      </c>
      <c r="J463">
        <v>0.88</v>
      </c>
      <c r="K463">
        <v>3366.5</v>
      </c>
      <c r="L463" t="s">
        <v>18</v>
      </c>
    </row>
    <row r="464" spans="1:12" x14ac:dyDescent="0.3">
      <c r="A464">
        <v>40</v>
      </c>
      <c r="B464" t="s">
        <v>116</v>
      </c>
      <c r="C464" t="s">
        <v>117</v>
      </c>
      <c r="D464" t="s">
        <v>32</v>
      </c>
      <c r="E464" t="s">
        <v>29</v>
      </c>
      <c r="F464" t="s">
        <v>26</v>
      </c>
      <c r="G464" s="1">
        <v>45839</v>
      </c>
      <c r="H464">
        <v>186</v>
      </c>
      <c r="I464">
        <v>4</v>
      </c>
      <c r="J464">
        <v>0.98</v>
      </c>
      <c r="K464">
        <v>2453</v>
      </c>
      <c r="L464" t="s">
        <v>18</v>
      </c>
    </row>
    <row r="465" spans="1:12" x14ac:dyDescent="0.3">
      <c r="A465">
        <v>40</v>
      </c>
      <c r="B465" t="s">
        <v>116</v>
      </c>
      <c r="C465" t="s">
        <v>117</v>
      </c>
      <c r="D465" t="s">
        <v>32</v>
      </c>
      <c r="E465" t="s">
        <v>29</v>
      </c>
      <c r="F465" t="s">
        <v>26</v>
      </c>
      <c r="G465" s="1">
        <v>45870</v>
      </c>
      <c r="H465">
        <v>343</v>
      </c>
      <c r="I465">
        <v>10</v>
      </c>
      <c r="J465">
        <v>0.85</v>
      </c>
      <c r="K465">
        <v>4101.5</v>
      </c>
      <c r="L465" t="s">
        <v>18</v>
      </c>
    </row>
    <row r="466" spans="1:12" x14ac:dyDescent="0.3">
      <c r="A466">
        <v>40</v>
      </c>
      <c r="B466" t="s">
        <v>116</v>
      </c>
      <c r="C466" t="s">
        <v>117</v>
      </c>
      <c r="D466" t="s">
        <v>32</v>
      </c>
      <c r="E466" t="s">
        <v>29</v>
      </c>
      <c r="F466" t="s">
        <v>26</v>
      </c>
      <c r="G466" s="1">
        <v>45901</v>
      </c>
      <c r="H466">
        <v>226</v>
      </c>
      <c r="I466">
        <v>6</v>
      </c>
      <c r="J466">
        <v>0.91</v>
      </c>
      <c r="K466">
        <v>2873</v>
      </c>
      <c r="L466" t="s">
        <v>18</v>
      </c>
    </row>
    <row r="467" spans="1:12" x14ac:dyDescent="0.3">
      <c r="A467">
        <v>40</v>
      </c>
      <c r="B467" t="s">
        <v>116</v>
      </c>
      <c r="C467" t="s">
        <v>117</v>
      </c>
      <c r="D467" t="s">
        <v>32</v>
      </c>
      <c r="E467" t="s">
        <v>29</v>
      </c>
      <c r="F467" t="s">
        <v>26</v>
      </c>
      <c r="G467" s="1">
        <v>45931</v>
      </c>
      <c r="H467">
        <v>363</v>
      </c>
      <c r="I467">
        <v>9</v>
      </c>
      <c r="J467">
        <v>0.99</v>
      </c>
      <c r="K467">
        <v>4311.5</v>
      </c>
      <c r="L467" t="s">
        <v>18</v>
      </c>
    </row>
    <row r="468" spans="1:12" x14ac:dyDescent="0.3">
      <c r="A468">
        <v>40</v>
      </c>
      <c r="B468" t="s">
        <v>116</v>
      </c>
      <c r="C468" t="s">
        <v>117</v>
      </c>
      <c r="D468" t="s">
        <v>32</v>
      </c>
      <c r="E468" t="s">
        <v>29</v>
      </c>
      <c r="F468" t="s">
        <v>26</v>
      </c>
      <c r="G468" s="1">
        <v>45962</v>
      </c>
      <c r="H468">
        <v>269</v>
      </c>
      <c r="I468">
        <v>10</v>
      </c>
      <c r="J468">
        <v>0.88</v>
      </c>
      <c r="K468">
        <v>3324.5</v>
      </c>
      <c r="L468" t="s">
        <v>18</v>
      </c>
    </row>
    <row r="469" spans="1:12" x14ac:dyDescent="0.3">
      <c r="A469">
        <v>40</v>
      </c>
      <c r="B469" t="s">
        <v>116</v>
      </c>
      <c r="C469" t="s">
        <v>117</v>
      </c>
      <c r="D469" t="s">
        <v>32</v>
      </c>
      <c r="E469" t="s">
        <v>29</v>
      </c>
      <c r="F469" t="s">
        <v>26</v>
      </c>
      <c r="G469" s="1">
        <v>45992</v>
      </c>
      <c r="H469">
        <v>170</v>
      </c>
      <c r="I469">
        <v>7</v>
      </c>
      <c r="J469">
        <v>0.85</v>
      </c>
      <c r="K469">
        <v>2285</v>
      </c>
      <c r="L469" t="s">
        <v>18</v>
      </c>
    </row>
    <row r="470" spans="1:12" x14ac:dyDescent="0.3">
      <c r="A470">
        <v>41</v>
      </c>
      <c r="B470" t="s">
        <v>118</v>
      </c>
      <c r="C470" t="s">
        <v>119</v>
      </c>
      <c r="D470" t="s">
        <v>42</v>
      </c>
      <c r="E470" t="s">
        <v>47</v>
      </c>
      <c r="F470" t="s">
        <v>26</v>
      </c>
      <c r="G470" s="1">
        <v>45658</v>
      </c>
      <c r="H470">
        <v>378</v>
      </c>
      <c r="I470">
        <v>2</v>
      </c>
      <c r="J470">
        <v>0.88</v>
      </c>
      <c r="K470">
        <v>1889.4</v>
      </c>
      <c r="L470" t="s">
        <v>18</v>
      </c>
    </row>
    <row r="471" spans="1:12" x14ac:dyDescent="0.3">
      <c r="A471">
        <v>41</v>
      </c>
      <c r="B471" t="s">
        <v>118</v>
      </c>
      <c r="C471" t="s">
        <v>119</v>
      </c>
      <c r="D471" t="s">
        <v>42</v>
      </c>
      <c r="E471" t="s">
        <v>47</v>
      </c>
      <c r="F471" t="s">
        <v>26</v>
      </c>
      <c r="G471" s="1">
        <v>45689</v>
      </c>
      <c r="H471">
        <v>218</v>
      </c>
      <c r="I471">
        <v>10</v>
      </c>
      <c r="J471">
        <v>0.87</v>
      </c>
      <c r="K471">
        <v>1121.4000000000001</v>
      </c>
      <c r="L471" t="s">
        <v>18</v>
      </c>
    </row>
    <row r="472" spans="1:12" x14ac:dyDescent="0.3">
      <c r="A472">
        <v>41</v>
      </c>
      <c r="B472" t="s">
        <v>118</v>
      </c>
      <c r="C472" t="s">
        <v>119</v>
      </c>
      <c r="D472" t="s">
        <v>42</v>
      </c>
      <c r="E472" t="s">
        <v>47</v>
      </c>
      <c r="F472" t="s">
        <v>26</v>
      </c>
      <c r="G472" s="1">
        <v>45717</v>
      </c>
      <c r="H472">
        <v>379</v>
      </c>
      <c r="I472">
        <v>10</v>
      </c>
      <c r="J472">
        <v>0.96</v>
      </c>
      <c r="K472">
        <v>1894.2</v>
      </c>
      <c r="L472" t="s">
        <v>18</v>
      </c>
    </row>
    <row r="473" spans="1:12" x14ac:dyDescent="0.3">
      <c r="A473">
        <v>41</v>
      </c>
      <c r="B473" t="s">
        <v>118</v>
      </c>
      <c r="C473" t="s">
        <v>119</v>
      </c>
      <c r="D473" t="s">
        <v>42</v>
      </c>
      <c r="E473" t="s">
        <v>47</v>
      </c>
      <c r="F473" t="s">
        <v>26</v>
      </c>
      <c r="G473" s="1">
        <v>45748</v>
      </c>
      <c r="H473">
        <v>259</v>
      </c>
      <c r="I473">
        <v>4</v>
      </c>
      <c r="J473">
        <v>0.99</v>
      </c>
      <c r="K473">
        <v>1318.2</v>
      </c>
      <c r="L473" t="s">
        <v>18</v>
      </c>
    </row>
    <row r="474" spans="1:12" x14ac:dyDescent="0.3">
      <c r="A474">
        <v>41</v>
      </c>
      <c r="B474" t="s">
        <v>118</v>
      </c>
      <c r="C474" t="s">
        <v>119</v>
      </c>
      <c r="D474" t="s">
        <v>42</v>
      </c>
      <c r="E474" t="s">
        <v>47</v>
      </c>
      <c r="F474" t="s">
        <v>26</v>
      </c>
      <c r="G474" s="1">
        <v>45778</v>
      </c>
      <c r="H474">
        <v>186</v>
      </c>
      <c r="I474">
        <v>2</v>
      </c>
      <c r="J474">
        <v>0.89</v>
      </c>
      <c r="K474">
        <v>967.8</v>
      </c>
      <c r="L474" t="s">
        <v>18</v>
      </c>
    </row>
    <row r="475" spans="1:12" x14ac:dyDescent="0.3">
      <c r="A475">
        <v>41</v>
      </c>
      <c r="B475" t="s">
        <v>118</v>
      </c>
      <c r="C475" t="s">
        <v>119</v>
      </c>
      <c r="D475" t="s">
        <v>42</v>
      </c>
      <c r="E475" t="s">
        <v>47</v>
      </c>
      <c r="F475" t="s">
        <v>26</v>
      </c>
      <c r="G475" s="1">
        <v>45809</v>
      </c>
      <c r="H475">
        <v>352</v>
      </c>
      <c r="I475">
        <v>3</v>
      </c>
      <c r="J475">
        <v>0.98</v>
      </c>
      <c r="K475">
        <v>1764.6</v>
      </c>
      <c r="L475" t="s">
        <v>18</v>
      </c>
    </row>
    <row r="476" spans="1:12" x14ac:dyDescent="0.3">
      <c r="A476">
        <v>41</v>
      </c>
      <c r="B476" t="s">
        <v>118</v>
      </c>
      <c r="C476" t="s">
        <v>119</v>
      </c>
      <c r="D476" t="s">
        <v>42</v>
      </c>
      <c r="E476" t="s">
        <v>47</v>
      </c>
      <c r="F476" t="s">
        <v>26</v>
      </c>
      <c r="G476" s="1">
        <v>45839</v>
      </c>
      <c r="H476">
        <v>377</v>
      </c>
      <c r="I476">
        <v>8</v>
      </c>
      <c r="J476">
        <v>0.88</v>
      </c>
      <c r="K476">
        <v>1884.6</v>
      </c>
      <c r="L476" t="s">
        <v>18</v>
      </c>
    </row>
    <row r="477" spans="1:12" x14ac:dyDescent="0.3">
      <c r="A477">
        <v>41</v>
      </c>
      <c r="B477" t="s">
        <v>118</v>
      </c>
      <c r="C477" t="s">
        <v>119</v>
      </c>
      <c r="D477" t="s">
        <v>42</v>
      </c>
      <c r="E477" t="s">
        <v>47</v>
      </c>
      <c r="F477" t="s">
        <v>26</v>
      </c>
      <c r="G477" s="1">
        <v>45870</v>
      </c>
      <c r="H477">
        <v>150</v>
      </c>
      <c r="I477">
        <v>5</v>
      </c>
      <c r="J477">
        <v>0.91</v>
      </c>
      <c r="K477">
        <v>795</v>
      </c>
      <c r="L477" t="s">
        <v>18</v>
      </c>
    </row>
    <row r="478" spans="1:12" x14ac:dyDescent="0.3">
      <c r="A478">
        <v>41</v>
      </c>
      <c r="B478" t="s">
        <v>118</v>
      </c>
      <c r="C478" t="s">
        <v>119</v>
      </c>
      <c r="D478" t="s">
        <v>42</v>
      </c>
      <c r="E478" t="s">
        <v>47</v>
      </c>
      <c r="F478" t="s">
        <v>26</v>
      </c>
      <c r="G478" s="1">
        <v>45901</v>
      </c>
      <c r="H478">
        <v>354</v>
      </c>
      <c r="I478">
        <v>7</v>
      </c>
      <c r="J478">
        <v>0.94</v>
      </c>
      <c r="K478">
        <v>1774.2</v>
      </c>
      <c r="L478" t="s">
        <v>17</v>
      </c>
    </row>
    <row r="479" spans="1:12" x14ac:dyDescent="0.3">
      <c r="A479">
        <v>41</v>
      </c>
      <c r="B479" t="s">
        <v>118</v>
      </c>
      <c r="C479" t="s">
        <v>119</v>
      </c>
      <c r="D479" t="s">
        <v>42</v>
      </c>
      <c r="E479" t="s">
        <v>47</v>
      </c>
      <c r="F479" t="s">
        <v>26</v>
      </c>
      <c r="G479" s="1">
        <v>45931</v>
      </c>
      <c r="H479">
        <v>263</v>
      </c>
      <c r="I479">
        <v>8</v>
      </c>
      <c r="J479">
        <v>0.96</v>
      </c>
      <c r="K479">
        <v>1337.4</v>
      </c>
      <c r="L479" t="s">
        <v>18</v>
      </c>
    </row>
    <row r="480" spans="1:12" x14ac:dyDescent="0.3">
      <c r="A480">
        <v>41</v>
      </c>
      <c r="B480" t="s">
        <v>118</v>
      </c>
      <c r="C480" t="s">
        <v>119</v>
      </c>
      <c r="D480" t="s">
        <v>42</v>
      </c>
      <c r="E480" t="s">
        <v>47</v>
      </c>
      <c r="F480" t="s">
        <v>26</v>
      </c>
      <c r="G480" s="1">
        <v>45962</v>
      </c>
      <c r="H480">
        <v>178</v>
      </c>
      <c r="I480">
        <v>9</v>
      </c>
      <c r="J480">
        <v>0.89</v>
      </c>
      <c r="K480">
        <v>929.4</v>
      </c>
      <c r="L480" t="s">
        <v>18</v>
      </c>
    </row>
    <row r="481" spans="1:12" x14ac:dyDescent="0.3">
      <c r="A481">
        <v>41</v>
      </c>
      <c r="B481" t="s">
        <v>118</v>
      </c>
      <c r="C481" t="s">
        <v>119</v>
      </c>
      <c r="D481" t="s">
        <v>42</v>
      </c>
      <c r="E481" t="s">
        <v>47</v>
      </c>
      <c r="F481" t="s">
        <v>26</v>
      </c>
      <c r="G481" s="1">
        <v>45992</v>
      </c>
      <c r="H481">
        <v>278</v>
      </c>
      <c r="I481">
        <v>10</v>
      </c>
      <c r="J481">
        <v>0.95</v>
      </c>
      <c r="K481">
        <v>1409.4</v>
      </c>
      <c r="L481" t="s">
        <v>18</v>
      </c>
    </row>
    <row r="482" spans="1:12" x14ac:dyDescent="0.3">
      <c r="A482">
        <v>42</v>
      </c>
      <c r="B482" t="s">
        <v>120</v>
      </c>
      <c r="C482" t="s">
        <v>121</v>
      </c>
      <c r="D482" t="s">
        <v>14</v>
      </c>
      <c r="E482" t="s">
        <v>50</v>
      </c>
      <c r="F482" t="s">
        <v>51</v>
      </c>
      <c r="G482" s="1">
        <v>45658</v>
      </c>
      <c r="H482">
        <v>304</v>
      </c>
      <c r="I482">
        <v>7</v>
      </c>
      <c r="J482">
        <v>0.9</v>
      </c>
      <c r="K482">
        <v>2076</v>
      </c>
      <c r="L482" t="s">
        <v>18</v>
      </c>
    </row>
    <row r="483" spans="1:12" x14ac:dyDescent="0.3">
      <c r="A483">
        <v>42</v>
      </c>
      <c r="B483" t="s">
        <v>120</v>
      </c>
      <c r="C483" t="s">
        <v>121</v>
      </c>
      <c r="D483" t="s">
        <v>14</v>
      </c>
      <c r="E483" t="s">
        <v>50</v>
      </c>
      <c r="F483" t="s">
        <v>51</v>
      </c>
      <c r="G483" s="1">
        <v>45689</v>
      </c>
      <c r="H483">
        <v>280</v>
      </c>
      <c r="I483">
        <v>7</v>
      </c>
      <c r="J483">
        <v>0.86</v>
      </c>
      <c r="K483">
        <v>1920</v>
      </c>
      <c r="L483" t="s">
        <v>17</v>
      </c>
    </row>
    <row r="484" spans="1:12" x14ac:dyDescent="0.3">
      <c r="A484">
        <v>42</v>
      </c>
      <c r="B484" t="s">
        <v>120</v>
      </c>
      <c r="C484" t="s">
        <v>121</v>
      </c>
      <c r="D484" t="s">
        <v>14</v>
      </c>
      <c r="E484" t="s">
        <v>50</v>
      </c>
      <c r="F484" t="s">
        <v>51</v>
      </c>
      <c r="G484" s="1">
        <v>45717</v>
      </c>
      <c r="H484">
        <v>388</v>
      </c>
      <c r="I484">
        <v>6</v>
      </c>
      <c r="J484">
        <v>0.93</v>
      </c>
      <c r="K484">
        <v>2622</v>
      </c>
      <c r="L484" t="s">
        <v>18</v>
      </c>
    </row>
    <row r="485" spans="1:12" x14ac:dyDescent="0.3">
      <c r="A485">
        <v>42</v>
      </c>
      <c r="B485" t="s">
        <v>120</v>
      </c>
      <c r="C485" t="s">
        <v>121</v>
      </c>
      <c r="D485" t="s">
        <v>14</v>
      </c>
      <c r="E485" t="s">
        <v>50</v>
      </c>
      <c r="F485" t="s">
        <v>51</v>
      </c>
      <c r="G485" s="1">
        <v>45748</v>
      </c>
      <c r="H485">
        <v>391</v>
      </c>
      <c r="I485">
        <v>10</v>
      </c>
      <c r="J485">
        <v>0.99</v>
      </c>
      <c r="K485">
        <v>2641.5</v>
      </c>
      <c r="L485" t="s">
        <v>18</v>
      </c>
    </row>
    <row r="486" spans="1:12" x14ac:dyDescent="0.3">
      <c r="A486">
        <v>42</v>
      </c>
      <c r="B486" t="s">
        <v>120</v>
      </c>
      <c r="C486" t="s">
        <v>121</v>
      </c>
      <c r="D486" t="s">
        <v>14</v>
      </c>
      <c r="E486" t="s">
        <v>50</v>
      </c>
      <c r="F486" t="s">
        <v>51</v>
      </c>
      <c r="G486" s="1">
        <v>45778</v>
      </c>
      <c r="H486">
        <v>390</v>
      </c>
      <c r="I486">
        <v>9</v>
      </c>
      <c r="J486">
        <v>0.99</v>
      </c>
      <c r="K486">
        <v>2635</v>
      </c>
      <c r="L486" t="s">
        <v>18</v>
      </c>
    </row>
    <row r="487" spans="1:12" x14ac:dyDescent="0.3">
      <c r="A487">
        <v>42</v>
      </c>
      <c r="B487" t="s">
        <v>120</v>
      </c>
      <c r="C487" t="s">
        <v>121</v>
      </c>
      <c r="D487" t="s">
        <v>14</v>
      </c>
      <c r="E487" t="s">
        <v>50</v>
      </c>
      <c r="F487" t="s">
        <v>51</v>
      </c>
      <c r="G487" s="1">
        <v>45809</v>
      </c>
      <c r="H487">
        <v>166</v>
      </c>
      <c r="I487">
        <v>5</v>
      </c>
      <c r="J487">
        <v>0.86</v>
      </c>
      <c r="K487">
        <v>1179</v>
      </c>
      <c r="L487" t="s">
        <v>18</v>
      </c>
    </row>
    <row r="488" spans="1:12" x14ac:dyDescent="0.3">
      <c r="A488">
        <v>42</v>
      </c>
      <c r="B488" t="s">
        <v>120</v>
      </c>
      <c r="C488" t="s">
        <v>121</v>
      </c>
      <c r="D488" t="s">
        <v>14</v>
      </c>
      <c r="E488" t="s">
        <v>50</v>
      </c>
      <c r="F488" t="s">
        <v>51</v>
      </c>
      <c r="G488" s="1">
        <v>45839</v>
      </c>
      <c r="H488">
        <v>285</v>
      </c>
      <c r="I488">
        <v>7</v>
      </c>
      <c r="J488">
        <v>0.91</v>
      </c>
      <c r="K488">
        <v>1952.5</v>
      </c>
      <c r="L488" t="s">
        <v>18</v>
      </c>
    </row>
    <row r="489" spans="1:12" x14ac:dyDescent="0.3">
      <c r="A489">
        <v>42</v>
      </c>
      <c r="B489" t="s">
        <v>120</v>
      </c>
      <c r="C489" t="s">
        <v>121</v>
      </c>
      <c r="D489" t="s">
        <v>14</v>
      </c>
      <c r="E489" t="s">
        <v>50</v>
      </c>
      <c r="F489" t="s">
        <v>51</v>
      </c>
      <c r="G489" s="1">
        <v>45870</v>
      </c>
      <c r="H489">
        <v>391</v>
      </c>
      <c r="I489">
        <v>9</v>
      </c>
      <c r="J489">
        <v>0.99</v>
      </c>
      <c r="K489">
        <v>2641.5</v>
      </c>
      <c r="L489" t="s">
        <v>18</v>
      </c>
    </row>
    <row r="490" spans="1:12" x14ac:dyDescent="0.3">
      <c r="A490">
        <v>42</v>
      </c>
      <c r="B490" t="s">
        <v>120</v>
      </c>
      <c r="C490" t="s">
        <v>121</v>
      </c>
      <c r="D490" t="s">
        <v>14</v>
      </c>
      <c r="E490" t="s">
        <v>50</v>
      </c>
      <c r="F490" t="s">
        <v>51</v>
      </c>
      <c r="G490" s="1">
        <v>45901</v>
      </c>
      <c r="H490">
        <v>237</v>
      </c>
      <c r="I490">
        <v>3</v>
      </c>
      <c r="J490">
        <v>0.96</v>
      </c>
      <c r="K490">
        <v>1640.5</v>
      </c>
      <c r="L490" t="s">
        <v>17</v>
      </c>
    </row>
    <row r="491" spans="1:12" x14ac:dyDescent="0.3">
      <c r="A491">
        <v>42</v>
      </c>
      <c r="B491" t="s">
        <v>120</v>
      </c>
      <c r="C491" t="s">
        <v>121</v>
      </c>
      <c r="D491" t="s">
        <v>14</v>
      </c>
      <c r="E491" t="s">
        <v>50</v>
      </c>
      <c r="F491" t="s">
        <v>51</v>
      </c>
      <c r="G491" s="1">
        <v>45931</v>
      </c>
      <c r="H491">
        <v>225</v>
      </c>
      <c r="I491">
        <v>3</v>
      </c>
      <c r="J491">
        <v>0.99</v>
      </c>
      <c r="K491">
        <v>1562.5</v>
      </c>
      <c r="L491" t="s">
        <v>18</v>
      </c>
    </row>
    <row r="492" spans="1:12" x14ac:dyDescent="0.3">
      <c r="A492">
        <v>42</v>
      </c>
      <c r="B492" t="s">
        <v>120</v>
      </c>
      <c r="C492" t="s">
        <v>121</v>
      </c>
      <c r="D492" t="s">
        <v>14</v>
      </c>
      <c r="E492" t="s">
        <v>50</v>
      </c>
      <c r="F492" t="s">
        <v>51</v>
      </c>
      <c r="G492" s="1">
        <v>45962</v>
      </c>
      <c r="H492">
        <v>175</v>
      </c>
      <c r="I492">
        <v>9</v>
      </c>
      <c r="J492">
        <v>0.89</v>
      </c>
      <c r="K492">
        <v>1237.5</v>
      </c>
      <c r="L492" t="s">
        <v>18</v>
      </c>
    </row>
    <row r="493" spans="1:12" x14ac:dyDescent="0.3">
      <c r="A493">
        <v>42</v>
      </c>
      <c r="B493" t="s">
        <v>120</v>
      </c>
      <c r="C493" t="s">
        <v>121</v>
      </c>
      <c r="D493" t="s">
        <v>14</v>
      </c>
      <c r="E493" t="s">
        <v>50</v>
      </c>
      <c r="F493" t="s">
        <v>51</v>
      </c>
      <c r="G493" s="1">
        <v>45992</v>
      </c>
      <c r="H493">
        <v>150</v>
      </c>
      <c r="I493">
        <v>9</v>
      </c>
      <c r="J493">
        <v>0.87</v>
      </c>
      <c r="K493">
        <v>1075</v>
      </c>
      <c r="L493" t="s">
        <v>18</v>
      </c>
    </row>
    <row r="494" spans="1:12" x14ac:dyDescent="0.3">
      <c r="A494">
        <v>43</v>
      </c>
      <c r="B494" t="s">
        <v>122</v>
      </c>
      <c r="C494" t="s">
        <v>123</v>
      </c>
      <c r="D494" t="s">
        <v>24</v>
      </c>
      <c r="E494" t="s">
        <v>54</v>
      </c>
      <c r="F494" t="s">
        <v>51</v>
      </c>
      <c r="G494" s="1">
        <v>45658</v>
      </c>
      <c r="H494">
        <v>177</v>
      </c>
      <c r="I494">
        <v>10</v>
      </c>
      <c r="J494">
        <v>0.92</v>
      </c>
      <c r="K494">
        <v>1701.4</v>
      </c>
      <c r="L494" t="s">
        <v>17</v>
      </c>
    </row>
    <row r="495" spans="1:12" x14ac:dyDescent="0.3">
      <c r="A495">
        <v>43</v>
      </c>
      <c r="B495" t="s">
        <v>122</v>
      </c>
      <c r="C495" t="s">
        <v>123</v>
      </c>
      <c r="D495" t="s">
        <v>24</v>
      </c>
      <c r="E495" t="s">
        <v>54</v>
      </c>
      <c r="F495" t="s">
        <v>51</v>
      </c>
      <c r="G495" s="1">
        <v>45689</v>
      </c>
      <c r="H495">
        <v>228</v>
      </c>
      <c r="I495">
        <v>6</v>
      </c>
      <c r="J495">
        <v>0.95</v>
      </c>
      <c r="K495">
        <v>2119.6</v>
      </c>
      <c r="L495" t="s">
        <v>18</v>
      </c>
    </row>
    <row r="496" spans="1:12" x14ac:dyDescent="0.3">
      <c r="A496">
        <v>43</v>
      </c>
      <c r="B496" t="s">
        <v>122</v>
      </c>
      <c r="C496" t="s">
        <v>123</v>
      </c>
      <c r="D496" t="s">
        <v>24</v>
      </c>
      <c r="E496" t="s">
        <v>54</v>
      </c>
      <c r="F496" t="s">
        <v>51</v>
      </c>
      <c r="G496" s="1">
        <v>45717</v>
      </c>
      <c r="H496">
        <v>183</v>
      </c>
      <c r="I496">
        <v>6</v>
      </c>
      <c r="J496">
        <v>0.92</v>
      </c>
      <c r="K496">
        <v>1750.6</v>
      </c>
      <c r="L496" t="s">
        <v>18</v>
      </c>
    </row>
    <row r="497" spans="1:12" x14ac:dyDescent="0.3">
      <c r="A497">
        <v>43</v>
      </c>
      <c r="B497" t="s">
        <v>122</v>
      </c>
      <c r="C497" t="s">
        <v>123</v>
      </c>
      <c r="D497" t="s">
        <v>24</v>
      </c>
      <c r="E497" t="s">
        <v>54</v>
      </c>
      <c r="F497" t="s">
        <v>51</v>
      </c>
      <c r="G497" s="1">
        <v>45748</v>
      </c>
      <c r="H497">
        <v>220</v>
      </c>
      <c r="I497">
        <v>8</v>
      </c>
      <c r="J497">
        <v>0.99</v>
      </c>
      <c r="K497">
        <v>2054</v>
      </c>
      <c r="L497" t="s">
        <v>18</v>
      </c>
    </row>
    <row r="498" spans="1:12" x14ac:dyDescent="0.3">
      <c r="A498">
        <v>43</v>
      </c>
      <c r="B498" t="s">
        <v>122</v>
      </c>
      <c r="C498" t="s">
        <v>123</v>
      </c>
      <c r="D498" t="s">
        <v>24</v>
      </c>
      <c r="E498" t="s">
        <v>54</v>
      </c>
      <c r="F498" t="s">
        <v>51</v>
      </c>
      <c r="G498" s="1">
        <v>45778</v>
      </c>
      <c r="H498">
        <v>289</v>
      </c>
      <c r="I498">
        <v>9</v>
      </c>
      <c r="J498">
        <v>0.89</v>
      </c>
      <c r="K498">
        <v>2619.8000000000002</v>
      </c>
      <c r="L498" t="s">
        <v>18</v>
      </c>
    </row>
    <row r="499" spans="1:12" x14ac:dyDescent="0.3">
      <c r="A499">
        <v>43</v>
      </c>
      <c r="B499" t="s">
        <v>122</v>
      </c>
      <c r="C499" t="s">
        <v>123</v>
      </c>
      <c r="D499" t="s">
        <v>24</v>
      </c>
      <c r="E499" t="s">
        <v>54</v>
      </c>
      <c r="F499" t="s">
        <v>51</v>
      </c>
      <c r="G499" s="1">
        <v>45809</v>
      </c>
      <c r="H499">
        <v>276</v>
      </c>
      <c r="I499">
        <v>4</v>
      </c>
      <c r="J499">
        <v>0.98</v>
      </c>
      <c r="K499">
        <v>2513.1999999999998</v>
      </c>
      <c r="L499" t="s">
        <v>18</v>
      </c>
    </row>
    <row r="500" spans="1:12" x14ac:dyDescent="0.3">
      <c r="A500">
        <v>43</v>
      </c>
      <c r="B500" t="s">
        <v>122</v>
      </c>
      <c r="C500" t="s">
        <v>123</v>
      </c>
      <c r="D500" t="s">
        <v>24</v>
      </c>
      <c r="E500" t="s">
        <v>54</v>
      </c>
      <c r="F500" t="s">
        <v>51</v>
      </c>
      <c r="G500" s="1">
        <v>45839</v>
      </c>
      <c r="H500">
        <v>314</v>
      </c>
      <c r="I500">
        <v>7</v>
      </c>
      <c r="J500">
        <v>0.86</v>
      </c>
      <c r="K500">
        <v>2824.8</v>
      </c>
      <c r="L500" t="s">
        <v>18</v>
      </c>
    </row>
    <row r="501" spans="1:12" x14ac:dyDescent="0.3">
      <c r="A501">
        <v>43</v>
      </c>
      <c r="B501" t="s">
        <v>122</v>
      </c>
      <c r="C501" t="s">
        <v>123</v>
      </c>
      <c r="D501" t="s">
        <v>24</v>
      </c>
      <c r="E501" t="s">
        <v>54</v>
      </c>
      <c r="F501" t="s">
        <v>51</v>
      </c>
      <c r="G501" s="1">
        <v>45870</v>
      </c>
      <c r="H501">
        <v>289</v>
      </c>
      <c r="I501">
        <v>8</v>
      </c>
      <c r="J501">
        <v>0.87</v>
      </c>
      <c r="K501">
        <v>2619.8000000000002</v>
      </c>
      <c r="L501" t="s">
        <v>18</v>
      </c>
    </row>
    <row r="502" spans="1:12" x14ac:dyDescent="0.3">
      <c r="A502">
        <v>43</v>
      </c>
      <c r="B502" t="s">
        <v>122</v>
      </c>
      <c r="C502" t="s">
        <v>123</v>
      </c>
      <c r="D502" t="s">
        <v>24</v>
      </c>
      <c r="E502" t="s">
        <v>54</v>
      </c>
      <c r="F502" t="s">
        <v>51</v>
      </c>
      <c r="G502" s="1">
        <v>45901</v>
      </c>
      <c r="H502">
        <v>172</v>
      </c>
      <c r="I502">
        <v>7</v>
      </c>
      <c r="J502">
        <v>0.86</v>
      </c>
      <c r="K502">
        <v>1660.4</v>
      </c>
      <c r="L502" t="s">
        <v>18</v>
      </c>
    </row>
    <row r="503" spans="1:12" x14ac:dyDescent="0.3">
      <c r="A503">
        <v>43</v>
      </c>
      <c r="B503" t="s">
        <v>122</v>
      </c>
      <c r="C503" t="s">
        <v>123</v>
      </c>
      <c r="D503" t="s">
        <v>24</v>
      </c>
      <c r="E503" t="s">
        <v>54</v>
      </c>
      <c r="F503" t="s">
        <v>51</v>
      </c>
      <c r="G503" s="1">
        <v>45931</v>
      </c>
      <c r="H503">
        <v>337</v>
      </c>
      <c r="I503">
        <v>5</v>
      </c>
      <c r="J503">
        <v>0.85</v>
      </c>
      <c r="K503">
        <v>3013.4</v>
      </c>
      <c r="L503" t="s">
        <v>18</v>
      </c>
    </row>
    <row r="504" spans="1:12" x14ac:dyDescent="0.3">
      <c r="A504">
        <v>43</v>
      </c>
      <c r="B504" t="s">
        <v>122</v>
      </c>
      <c r="C504" t="s">
        <v>123</v>
      </c>
      <c r="D504" t="s">
        <v>24</v>
      </c>
      <c r="E504" t="s">
        <v>54</v>
      </c>
      <c r="F504" t="s">
        <v>51</v>
      </c>
      <c r="G504" s="1">
        <v>45962</v>
      </c>
      <c r="H504">
        <v>184</v>
      </c>
      <c r="I504">
        <v>9</v>
      </c>
      <c r="J504">
        <v>0.97</v>
      </c>
      <c r="K504">
        <v>1758.8</v>
      </c>
      <c r="L504" t="s">
        <v>18</v>
      </c>
    </row>
    <row r="505" spans="1:12" x14ac:dyDescent="0.3">
      <c r="A505">
        <v>43</v>
      </c>
      <c r="B505" t="s">
        <v>122</v>
      </c>
      <c r="C505" t="s">
        <v>123</v>
      </c>
      <c r="D505" t="s">
        <v>24</v>
      </c>
      <c r="E505" t="s">
        <v>54</v>
      </c>
      <c r="F505" t="s">
        <v>51</v>
      </c>
      <c r="G505" s="1">
        <v>45992</v>
      </c>
      <c r="H505">
        <v>261</v>
      </c>
      <c r="I505">
        <v>3</v>
      </c>
      <c r="J505">
        <v>0.98</v>
      </c>
      <c r="K505">
        <v>2390.1999999999998</v>
      </c>
      <c r="L505" t="s">
        <v>17</v>
      </c>
    </row>
    <row r="506" spans="1:12" x14ac:dyDescent="0.3">
      <c r="A506">
        <v>44</v>
      </c>
      <c r="B506" t="s">
        <v>124</v>
      </c>
      <c r="C506" t="s">
        <v>125</v>
      </c>
      <c r="D506" t="s">
        <v>32</v>
      </c>
      <c r="E506" t="s">
        <v>57</v>
      </c>
      <c r="F506" t="s">
        <v>51</v>
      </c>
      <c r="G506" s="1">
        <v>45658</v>
      </c>
      <c r="H506">
        <v>305</v>
      </c>
      <c r="I506">
        <v>8</v>
      </c>
      <c r="J506">
        <v>0.99</v>
      </c>
      <c r="K506">
        <v>3702.5</v>
      </c>
      <c r="L506" t="s">
        <v>18</v>
      </c>
    </row>
    <row r="507" spans="1:12" x14ac:dyDescent="0.3">
      <c r="A507">
        <v>44</v>
      </c>
      <c r="B507" t="s">
        <v>124</v>
      </c>
      <c r="C507" t="s">
        <v>125</v>
      </c>
      <c r="D507" t="s">
        <v>32</v>
      </c>
      <c r="E507" t="s">
        <v>57</v>
      </c>
      <c r="F507" t="s">
        <v>51</v>
      </c>
      <c r="G507" s="1">
        <v>45689</v>
      </c>
      <c r="H507">
        <v>312</v>
      </c>
      <c r="I507">
        <v>9</v>
      </c>
      <c r="J507">
        <v>0.88</v>
      </c>
      <c r="K507">
        <v>3776</v>
      </c>
      <c r="L507" t="s">
        <v>18</v>
      </c>
    </row>
    <row r="508" spans="1:12" x14ac:dyDescent="0.3">
      <c r="A508">
        <v>44</v>
      </c>
      <c r="B508" t="s">
        <v>124</v>
      </c>
      <c r="C508" t="s">
        <v>125</v>
      </c>
      <c r="D508" t="s">
        <v>32</v>
      </c>
      <c r="E508" t="s">
        <v>57</v>
      </c>
      <c r="F508" t="s">
        <v>51</v>
      </c>
      <c r="G508" s="1">
        <v>45717</v>
      </c>
      <c r="H508">
        <v>151</v>
      </c>
      <c r="I508">
        <v>4</v>
      </c>
      <c r="J508">
        <v>0.87</v>
      </c>
      <c r="K508">
        <v>2085.5</v>
      </c>
      <c r="L508" t="s">
        <v>18</v>
      </c>
    </row>
    <row r="509" spans="1:12" x14ac:dyDescent="0.3">
      <c r="A509">
        <v>44</v>
      </c>
      <c r="B509" t="s">
        <v>124</v>
      </c>
      <c r="C509" t="s">
        <v>125</v>
      </c>
      <c r="D509" t="s">
        <v>32</v>
      </c>
      <c r="E509" t="s">
        <v>57</v>
      </c>
      <c r="F509" t="s">
        <v>51</v>
      </c>
      <c r="G509" s="1">
        <v>45748</v>
      </c>
      <c r="H509">
        <v>279</v>
      </c>
      <c r="I509">
        <v>6</v>
      </c>
      <c r="J509">
        <v>0.94</v>
      </c>
      <c r="K509">
        <v>3429.5</v>
      </c>
      <c r="L509" t="s">
        <v>18</v>
      </c>
    </row>
    <row r="510" spans="1:12" x14ac:dyDescent="0.3">
      <c r="A510">
        <v>44</v>
      </c>
      <c r="B510" t="s">
        <v>124</v>
      </c>
      <c r="C510" t="s">
        <v>125</v>
      </c>
      <c r="D510" t="s">
        <v>32</v>
      </c>
      <c r="E510" t="s">
        <v>57</v>
      </c>
      <c r="F510" t="s">
        <v>51</v>
      </c>
      <c r="G510" s="1">
        <v>45778</v>
      </c>
      <c r="H510">
        <v>240</v>
      </c>
      <c r="I510">
        <v>7</v>
      </c>
      <c r="J510">
        <v>0.95</v>
      </c>
      <c r="K510">
        <v>3020</v>
      </c>
      <c r="L510" t="s">
        <v>18</v>
      </c>
    </row>
    <row r="511" spans="1:12" x14ac:dyDescent="0.3">
      <c r="A511">
        <v>44</v>
      </c>
      <c r="B511" t="s">
        <v>124</v>
      </c>
      <c r="C511" t="s">
        <v>125</v>
      </c>
      <c r="D511" t="s">
        <v>32</v>
      </c>
      <c r="E511" t="s">
        <v>57</v>
      </c>
      <c r="F511" t="s">
        <v>51</v>
      </c>
      <c r="G511" s="1">
        <v>45809</v>
      </c>
      <c r="H511">
        <v>231</v>
      </c>
      <c r="I511">
        <v>2</v>
      </c>
      <c r="J511">
        <v>0.95</v>
      </c>
      <c r="K511">
        <v>2925.5</v>
      </c>
      <c r="L511" t="s">
        <v>18</v>
      </c>
    </row>
    <row r="512" spans="1:12" x14ac:dyDescent="0.3">
      <c r="A512">
        <v>44</v>
      </c>
      <c r="B512" t="s">
        <v>124</v>
      </c>
      <c r="C512" t="s">
        <v>125</v>
      </c>
      <c r="D512" t="s">
        <v>32</v>
      </c>
      <c r="E512" t="s">
        <v>57</v>
      </c>
      <c r="F512" t="s">
        <v>51</v>
      </c>
      <c r="G512" s="1">
        <v>45839</v>
      </c>
      <c r="H512">
        <v>237</v>
      </c>
      <c r="I512">
        <v>10</v>
      </c>
      <c r="J512">
        <v>0.89</v>
      </c>
      <c r="K512">
        <v>2988.5</v>
      </c>
      <c r="L512" t="s">
        <v>18</v>
      </c>
    </row>
    <row r="513" spans="1:12" x14ac:dyDescent="0.3">
      <c r="A513">
        <v>44</v>
      </c>
      <c r="B513" t="s">
        <v>124</v>
      </c>
      <c r="C513" t="s">
        <v>125</v>
      </c>
      <c r="D513" t="s">
        <v>32</v>
      </c>
      <c r="E513" t="s">
        <v>57</v>
      </c>
      <c r="F513" t="s">
        <v>51</v>
      </c>
      <c r="G513" s="1">
        <v>45870</v>
      </c>
      <c r="H513">
        <v>288</v>
      </c>
      <c r="I513">
        <v>9</v>
      </c>
      <c r="J513">
        <v>0.94</v>
      </c>
      <c r="K513">
        <v>3524</v>
      </c>
      <c r="L513" t="s">
        <v>17</v>
      </c>
    </row>
    <row r="514" spans="1:12" x14ac:dyDescent="0.3">
      <c r="A514">
        <v>44</v>
      </c>
      <c r="B514" t="s">
        <v>124</v>
      </c>
      <c r="C514" t="s">
        <v>125</v>
      </c>
      <c r="D514" t="s">
        <v>32</v>
      </c>
      <c r="E514" t="s">
        <v>57</v>
      </c>
      <c r="F514" t="s">
        <v>51</v>
      </c>
      <c r="G514" s="1">
        <v>45901</v>
      </c>
      <c r="H514">
        <v>362</v>
      </c>
      <c r="I514">
        <v>4</v>
      </c>
      <c r="J514">
        <v>0.9</v>
      </c>
      <c r="K514">
        <v>4301</v>
      </c>
      <c r="L514" t="s">
        <v>18</v>
      </c>
    </row>
    <row r="515" spans="1:12" x14ac:dyDescent="0.3">
      <c r="A515">
        <v>44</v>
      </c>
      <c r="B515" t="s">
        <v>124</v>
      </c>
      <c r="C515" t="s">
        <v>125</v>
      </c>
      <c r="D515" t="s">
        <v>32</v>
      </c>
      <c r="E515" t="s">
        <v>57</v>
      </c>
      <c r="F515" t="s">
        <v>51</v>
      </c>
      <c r="G515" s="1">
        <v>45931</v>
      </c>
      <c r="H515">
        <v>169</v>
      </c>
      <c r="I515">
        <v>5</v>
      </c>
      <c r="J515">
        <v>0.93</v>
      </c>
      <c r="K515">
        <v>2274.5</v>
      </c>
      <c r="L515" t="s">
        <v>18</v>
      </c>
    </row>
    <row r="516" spans="1:12" x14ac:dyDescent="0.3">
      <c r="A516">
        <v>44</v>
      </c>
      <c r="B516" t="s">
        <v>124</v>
      </c>
      <c r="C516" t="s">
        <v>125</v>
      </c>
      <c r="D516" t="s">
        <v>32</v>
      </c>
      <c r="E516" t="s">
        <v>57</v>
      </c>
      <c r="F516" t="s">
        <v>51</v>
      </c>
      <c r="G516" s="1">
        <v>45962</v>
      </c>
      <c r="H516">
        <v>235</v>
      </c>
      <c r="I516">
        <v>3</v>
      </c>
      <c r="J516">
        <v>0.94</v>
      </c>
      <c r="K516">
        <v>2967.5</v>
      </c>
      <c r="L516" t="s">
        <v>18</v>
      </c>
    </row>
    <row r="517" spans="1:12" x14ac:dyDescent="0.3">
      <c r="A517">
        <v>44</v>
      </c>
      <c r="B517" t="s">
        <v>124</v>
      </c>
      <c r="C517" t="s">
        <v>125</v>
      </c>
      <c r="D517" t="s">
        <v>32</v>
      </c>
      <c r="E517" t="s">
        <v>57</v>
      </c>
      <c r="F517" t="s">
        <v>51</v>
      </c>
      <c r="G517" s="1">
        <v>45992</v>
      </c>
      <c r="H517">
        <v>180</v>
      </c>
      <c r="I517">
        <v>4</v>
      </c>
      <c r="J517">
        <v>0.98</v>
      </c>
      <c r="K517">
        <v>2390</v>
      </c>
      <c r="L517" t="s">
        <v>18</v>
      </c>
    </row>
    <row r="518" spans="1:12" x14ac:dyDescent="0.3">
      <c r="A518">
        <v>45</v>
      </c>
      <c r="B518" t="s">
        <v>126</v>
      </c>
      <c r="C518" t="s">
        <v>127</v>
      </c>
      <c r="D518" t="s">
        <v>42</v>
      </c>
      <c r="E518" t="s">
        <v>33</v>
      </c>
      <c r="F518" t="s">
        <v>34</v>
      </c>
      <c r="G518" s="1">
        <v>45658</v>
      </c>
      <c r="H518">
        <v>255</v>
      </c>
      <c r="I518">
        <v>4</v>
      </c>
      <c r="J518">
        <v>0.92</v>
      </c>
      <c r="K518">
        <v>1299</v>
      </c>
      <c r="L518" t="s">
        <v>18</v>
      </c>
    </row>
    <row r="519" spans="1:12" x14ac:dyDescent="0.3">
      <c r="A519">
        <v>45</v>
      </c>
      <c r="B519" t="s">
        <v>126</v>
      </c>
      <c r="C519" t="s">
        <v>127</v>
      </c>
      <c r="D519" t="s">
        <v>42</v>
      </c>
      <c r="E519" t="s">
        <v>33</v>
      </c>
      <c r="F519" t="s">
        <v>34</v>
      </c>
      <c r="G519" s="1">
        <v>45689</v>
      </c>
      <c r="H519">
        <v>263</v>
      </c>
      <c r="I519">
        <v>10</v>
      </c>
      <c r="J519">
        <v>0.86</v>
      </c>
      <c r="K519">
        <v>1337.4</v>
      </c>
      <c r="L519" t="s">
        <v>18</v>
      </c>
    </row>
    <row r="520" spans="1:12" x14ac:dyDescent="0.3">
      <c r="A520">
        <v>45</v>
      </c>
      <c r="B520" t="s">
        <v>126</v>
      </c>
      <c r="C520" t="s">
        <v>127</v>
      </c>
      <c r="D520" t="s">
        <v>42</v>
      </c>
      <c r="E520" t="s">
        <v>33</v>
      </c>
      <c r="F520" t="s">
        <v>34</v>
      </c>
      <c r="G520" s="1">
        <v>45717</v>
      </c>
      <c r="H520">
        <v>279</v>
      </c>
      <c r="I520">
        <v>9</v>
      </c>
      <c r="J520">
        <v>0.92</v>
      </c>
      <c r="K520">
        <v>1414.2</v>
      </c>
      <c r="L520" t="s">
        <v>18</v>
      </c>
    </row>
    <row r="521" spans="1:12" x14ac:dyDescent="0.3">
      <c r="A521">
        <v>45</v>
      </c>
      <c r="B521" t="s">
        <v>126</v>
      </c>
      <c r="C521" t="s">
        <v>127</v>
      </c>
      <c r="D521" t="s">
        <v>42</v>
      </c>
      <c r="E521" t="s">
        <v>33</v>
      </c>
      <c r="F521" t="s">
        <v>34</v>
      </c>
      <c r="G521" s="1">
        <v>45748</v>
      </c>
      <c r="H521">
        <v>190</v>
      </c>
      <c r="I521">
        <v>9</v>
      </c>
      <c r="J521">
        <v>0.86</v>
      </c>
      <c r="K521">
        <v>987</v>
      </c>
      <c r="L521" t="s">
        <v>18</v>
      </c>
    </row>
    <row r="522" spans="1:12" x14ac:dyDescent="0.3">
      <c r="A522">
        <v>45</v>
      </c>
      <c r="B522" t="s">
        <v>126</v>
      </c>
      <c r="C522" t="s">
        <v>127</v>
      </c>
      <c r="D522" t="s">
        <v>42</v>
      </c>
      <c r="E522" t="s">
        <v>33</v>
      </c>
      <c r="F522" t="s">
        <v>34</v>
      </c>
      <c r="G522" s="1">
        <v>45778</v>
      </c>
      <c r="H522">
        <v>271</v>
      </c>
      <c r="I522">
        <v>7</v>
      </c>
      <c r="J522">
        <v>0.86</v>
      </c>
      <c r="K522">
        <v>1375.8</v>
      </c>
      <c r="L522" t="s">
        <v>18</v>
      </c>
    </row>
    <row r="523" spans="1:12" x14ac:dyDescent="0.3">
      <c r="A523">
        <v>45</v>
      </c>
      <c r="B523" t="s">
        <v>126</v>
      </c>
      <c r="C523" t="s">
        <v>127</v>
      </c>
      <c r="D523" t="s">
        <v>42</v>
      </c>
      <c r="E523" t="s">
        <v>33</v>
      </c>
      <c r="F523" t="s">
        <v>34</v>
      </c>
      <c r="G523" s="1">
        <v>45809</v>
      </c>
      <c r="H523">
        <v>233</v>
      </c>
      <c r="I523">
        <v>6</v>
      </c>
      <c r="J523">
        <v>0.93</v>
      </c>
      <c r="K523">
        <v>1193.4000000000001</v>
      </c>
      <c r="L523" t="s">
        <v>18</v>
      </c>
    </row>
    <row r="524" spans="1:12" x14ac:dyDescent="0.3">
      <c r="A524">
        <v>45</v>
      </c>
      <c r="B524" t="s">
        <v>126</v>
      </c>
      <c r="C524" t="s">
        <v>127</v>
      </c>
      <c r="D524" t="s">
        <v>42</v>
      </c>
      <c r="E524" t="s">
        <v>33</v>
      </c>
      <c r="F524" t="s">
        <v>34</v>
      </c>
      <c r="G524" s="1">
        <v>45839</v>
      </c>
      <c r="H524">
        <v>319</v>
      </c>
      <c r="I524">
        <v>3</v>
      </c>
      <c r="J524">
        <v>0.88</v>
      </c>
      <c r="K524">
        <v>1606.2</v>
      </c>
      <c r="L524" t="s">
        <v>18</v>
      </c>
    </row>
    <row r="525" spans="1:12" x14ac:dyDescent="0.3">
      <c r="A525">
        <v>45</v>
      </c>
      <c r="B525" t="s">
        <v>126</v>
      </c>
      <c r="C525" t="s">
        <v>127</v>
      </c>
      <c r="D525" t="s">
        <v>42</v>
      </c>
      <c r="E525" t="s">
        <v>33</v>
      </c>
      <c r="F525" t="s">
        <v>34</v>
      </c>
      <c r="G525" s="1">
        <v>45870</v>
      </c>
      <c r="H525">
        <v>182</v>
      </c>
      <c r="I525">
        <v>4</v>
      </c>
      <c r="J525">
        <v>0.96</v>
      </c>
      <c r="K525">
        <v>948.6</v>
      </c>
      <c r="L525" t="s">
        <v>18</v>
      </c>
    </row>
    <row r="526" spans="1:12" x14ac:dyDescent="0.3">
      <c r="A526">
        <v>45</v>
      </c>
      <c r="B526" t="s">
        <v>126</v>
      </c>
      <c r="C526" t="s">
        <v>127</v>
      </c>
      <c r="D526" t="s">
        <v>42</v>
      </c>
      <c r="E526" t="s">
        <v>33</v>
      </c>
      <c r="F526" t="s">
        <v>34</v>
      </c>
      <c r="G526" s="1">
        <v>45901</v>
      </c>
      <c r="H526">
        <v>388</v>
      </c>
      <c r="I526">
        <v>8</v>
      </c>
      <c r="J526">
        <v>0.92</v>
      </c>
      <c r="K526">
        <v>1937.4</v>
      </c>
      <c r="L526" t="s">
        <v>18</v>
      </c>
    </row>
    <row r="527" spans="1:12" x14ac:dyDescent="0.3">
      <c r="A527">
        <v>45</v>
      </c>
      <c r="B527" t="s">
        <v>126</v>
      </c>
      <c r="C527" t="s">
        <v>127</v>
      </c>
      <c r="D527" t="s">
        <v>42</v>
      </c>
      <c r="E527" t="s">
        <v>33</v>
      </c>
      <c r="F527" t="s">
        <v>34</v>
      </c>
      <c r="G527" s="1">
        <v>45931</v>
      </c>
      <c r="H527">
        <v>364</v>
      </c>
      <c r="I527">
        <v>7</v>
      </c>
      <c r="J527">
        <v>0.97</v>
      </c>
      <c r="K527">
        <v>1822.2</v>
      </c>
      <c r="L527" t="s">
        <v>18</v>
      </c>
    </row>
    <row r="528" spans="1:12" x14ac:dyDescent="0.3">
      <c r="A528">
        <v>45</v>
      </c>
      <c r="B528" t="s">
        <v>126</v>
      </c>
      <c r="C528" t="s">
        <v>127</v>
      </c>
      <c r="D528" t="s">
        <v>42</v>
      </c>
      <c r="E528" t="s">
        <v>33</v>
      </c>
      <c r="F528" t="s">
        <v>34</v>
      </c>
      <c r="G528" s="1">
        <v>45962</v>
      </c>
      <c r="H528">
        <v>257</v>
      </c>
      <c r="I528">
        <v>10</v>
      </c>
      <c r="J528">
        <v>0.85</v>
      </c>
      <c r="K528">
        <v>1308.5999999999999</v>
      </c>
      <c r="L528" t="s">
        <v>18</v>
      </c>
    </row>
    <row r="529" spans="1:12" x14ac:dyDescent="0.3">
      <c r="A529">
        <v>45</v>
      </c>
      <c r="B529" t="s">
        <v>126</v>
      </c>
      <c r="C529" t="s">
        <v>127</v>
      </c>
      <c r="D529" t="s">
        <v>42</v>
      </c>
      <c r="E529" t="s">
        <v>33</v>
      </c>
      <c r="F529" t="s">
        <v>34</v>
      </c>
      <c r="G529" s="1">
        <v>45992</v>
      </c>
      <c r="H529">
        <v>205</v>
      </c>
      <c r="I529">
        <v>5</v>
      </c>
      <c r="J529">
        <v>0.98</v>
      </c>
      <c r="K529">
        <v>1059</v>
      </c>
      <c r="L529" t="s">
        <v>18</v>
      </c>
    </row>
    <row r="530" spans="1:12" x14ac:dyDescent="0.3">
      <c r="A530">
        <v>46</v>
      </c>
      <c r="B530" t="s">
        <v>128</v>
      </c>
      <c r="C530" t="s">
        <v>129</v>
      </c>
      <c r="D530" t="s">
        <v>14</v>
      </c>
      <c r="E530" t="s">
        <v>62</v>
      </c>
      <c r="F530" t="s">
        <v>34</v>
      </c>
      <c r="G530" s="1">
        <v>45658</v>
      </c>
      <c r="H530">
        <v>385</v>
      </c>
      <c r="I530">
        <v>2</v>
      </c>
      <c r="J530">
        <v>0.89</v>
      </c>
      <c r="K530">
        <v>2602.5</v>
      </c>
      <c r="L530" t="s">
        <v>18</v>
      </c>
    </row>
    <row r="531" spans="1:12" x14ac:dyDescent="0.3">
      <c r="A531">
        <v>46</v>
      </c>
      <c r="B531" t="s">
        <v>128</v>
      </c>
      <c r="C531" t="s">
        <v>129</v>
      </c>
      <c r="D531" t="s">
        <v>14</v>
      </c>
      <c r="E531" t="s">
        <v>62</v>
      </c>
      <c r="F531" t="s">
        <v>34</v>
      </c>
      <c r="G531" s="1">
        <v>45689</v>
      </c>
      <c r="H531">
        <v>166</v>
      </c>
      <c r="I531">
        <v>5</v>
      </c>
      <c r="J531">
        <v>0.88</v>
      </c>
      <c r="K531">
        <v>1179</v>
      </c>
      <c r="L531" t="s">
        <v>18</v>
      </c>
    </row>
    <row r="532" spans="1:12" x14ac:dyDescent="0.3">
      <c r="A532">
        <v>46</v>
      </c>
      <c r="B532" t="s">
        <v>128</v>
      </c>
      <c r="C532" t="s">
        <v>129</v>
      </c>
      <c r="D532" t="s">
        <v>14</v>
      </c>
      <c r="E532" t="s">
        <v>62</v>
      </c>
      <c r="F532" t="s">
        <v>34</v>
      </c>
      <c r="G532" s="1">
        <v>45717</v>
      </c>
      <c r="H532">
        <v>320</v>
      </c>
      <c r="I532">
        <v>7</v>
      </c>
      <c r="J532">
        <v>0.87</v>
      </c>
      <c r="K532">
        <v>2180</v>
      </c>
      <c r="L532" t="s">
        <v>18</v>
      </c>
    </row>
    <row r="533" spans="1:12" x14ac:dyDescent="0.3">
      <c r="A533">
        <v>46</v>
      </c>
      <c r="B533" t="s">
        <v>128</v>
      </c>
      <c r="C533" t="s">
        <v>129</v>
      </c>
      <c r="D533" t="s">
        <v>14</v>
      </c>
      <c r="E533" t="s">
        <v>62</v>
      </c>
      <c r="F533" t="s">
        <v>34</v>
      </c>
      <c r="G533" s="1">
        <v>45748</v>
      </c>
      <c r="H533">
        <v>359</v>
      </c>
      <c r="I533">
        <v>3</v>
      </c>
      <c r="J533">
        <v>0.88</v>
      </c>
      <c r="K533">
        <v>2433.5</v>
      </c>
      <c r="L533" t="s">
        <v>18</v>
      </c>
    </row>
    <row r="534" spans="1:12" x14ac:dyDescent="0.3">
      <c r="A534">
        <v>46</v>
      </c>
      <c r="B534" t="s">
        <v>128</v>
      </c>
      <c r="C534" t="s">
        <v>129</v>
      </c>
      <c r="D534" t="s">
        <v>14</v>
      </c>
      <c r="E534" t="s">
        <v>62</v>
      </c>
      <c r="F534" t="s">
        <v>34</v>
      </c>
      <c r="G534" s="1">
        <v>45778</v>
      </c>
      <c r="H534">
        <v>236</v>
      </c>
      <c r="I534">
        <v>10</v>
      </c>
      <c r="J534">
        <v>0.9</v>
      </c>
      <c r="K534">
        <v>1634</v>
      </c>
      <c r="L534" t="s">
        <v>18</v>
      </c>
    </row>
    <row r="535" spans="1:12" x14ac:dyDescent="0.3">
      <c r="A535">
        <v>46</v>
      </c>
      <c r="B535" t="s">
        <v>128</v>
      </c>
      <c r="C535" t="s">
        <v>129</v>
      </c>
      <c r="D535" t="s">
        <v>14</v>
      </c>
      <c r="E535" t="s">
        <v>62</v>
      </c>
      <c r="F535" t="s">
        <v>34</v>
      </c>
      <c r="G535" s="1">
        <v>45809</v>
      </c>
      <c r="H535">
        <v>225</v>
      </c>
      <c r="I535">
        <v>5</v>
      </c>
      <c r="J535">
        <v>0.85</v>
      </c>
      <c r="K535">
        <v>1562.5</v>
      </c>
      <c r="L535" t="s">
        <v>17</v>
      </c>
    </row>
    <row r="536" spans="1:12" x14ac:dyDescent="0.3">
      <c r="A536">
        <v>46</v>
      </c>
      <c r="B536" t="s">
        <v>128</v>
      </c>
      <c r="C536" t="s">
        <v>129</v>
      </c>
      <c r="D536" t="s">
        <v>14</v>
      </c>
      <c r="E536" t="s">
        <v>62</v>
      </c>
      <c r="F536" t="s">
        <v>34</v>
      </c>
      <c r="G536" s="1">
        <v>45839</v>
      </c>
      <c r="H536">
        <v>360</v>
      </c>
      <c r="I536">
        <v>8</v>
      </c>
      <c r="J536">
        <v>0.86</v>
      </c>
      <c r="K536">
        <v>2440</v>
      </c>
      <c r="L536" t="s">
        <v>17</v>
      </c>
    </row>
    <row r="537" spans="1:12" x14ac:dyDescent="0.3">
      <c r="A537">
        <v>46</v>
      </c>
      <c r="B537" t="s">
        <v>128</v>
      </c>
      <c r="C537" t="s">
        <v>129</v>
      </c>
      <c r="D537" t="s">
        <v>14</v>
      </c>
      <c r="E537" t="s">
        <v>62</v>
      </c>
      <c r="F537" t="s">
        <v>34</v>
      </c>
      <c r="G537" s="1">
        <v>45870</v>
      </c>
      <c r="H537">
        <v>214</v>
      </c>
      <c r="I537">
        <v>8</v>
      </c>
      <c r="J537">
        <v>0.96</v>
      </c>
      <c r="K537">
        <v>1491</v>
      </c>
      <c r="L537" t="s">
        <v>18</v>
      </c>
    </row>
    <row r="538" spans="1:12" x14ac:dyDescent="0.3">
      <c r="A538">
        <v>46</v>
      </c>
      <c r="B538" t="s">
        <v>128</v>
      </c>
      <c r="C538" t="s">
        <v>129</v>
      </c>
      <c r="D538" t="s">
        <v>14</v>
      </c>
      <c r="E538" t="s">
        <v>62</v>
      </c>
      <c r="F538" t="s">
        <v>34</v>
      </c>
      <c r="G538" s="1">
        <v>45901</v>
      </c>
      <c r="H538">
        <v>342</v>
      </c>
      <c r="I538">
        <v>3</v>
      </c>
      <c r="J538">
        <v>0.98</v>
      </c>
      <c r="K538">
        <v>2323</v>
      </c>
      <c r="L538" t="s">
        <v>18</v>
      </c>
    </row>
    <row r="539" spans="1:12" x14ac:dyDescent="0.3">
      <c r="A539">
        <v>46</v>
      </c>
      <c r="B539" t="s">
        <v>128</v>
      </c>
      <c r="C539" t="s">
        <v>129</v>
      </c>
      <c r="D539" t="s">
        <v>14</v>
      </c>
      <c r="E539" t="s">
        <v>62</v>
      </c>
      <c r="F539" t="s">
        <v>34</v>
      </c>
      <c r="G539" s="1">
        <v>45931</v>
      </c>
      <c r="H539">
        <v>382</v>
      </c>
      <c r="I539">
        <v>6</v>
      </c>
      <c r="J539">
        <v>0.94</v>
      </c>
      <c r="K539">
        <v>2583</v>
      </c>
      <c r="L539" t="s">
        <v>18</v>
      </c>
    </row>
    <row r="540" spans="1:12" x14ac:dyDescent="0.3">
      <c r="A540">
        <v>46</v>
      </c>
      <c r="B540" t="s">
        <v>128</v>
      </c>
      <c r="C540" t="s">
        <v>129</v>
      </c>
      <c r="D540" t="s">
        <v>14</v>
      </c>
      <c r="E540" t="s">
        <v>62</v>
      </c>
      <c r="F540" t="s">
        <v>34</v>
      </c>
      <c r="G540" s="1">
        <v>45962</v>
      </c>
      <c r="H540">
        <v>372</v>
      </c>
      <c r="I540">
        <v>8</v>
      </c>
      <c r="J540">
        <v>0.99</v>
      </c>
      <c r="K540">
        <v>2518</v>
      </c>
      <c r="L540" t="s">
        <v>17</v>
      </c>
    </row>
    <row r="541" spans="1:12" x14ac:dyDescent="0.3">
      <c r="A541">
        <v>46</v>
      </c>
      <c r="B541" t="s">
        <v>128</v>
      </c>
      <c r="C541" t="s">
        <v>129</v>
      </c>
      <c r="D541" t="s">
        <v>14</v>
      </c>
      <c r="E541" t="s">
        <v>62</v>
      </c>
      <c r="F541" t="s">
        <v>34</v>
      </c>
      <c r="G541" s="1">
        <v>45992</v>
      </c>
      <c r="H541">
        <v>366</v>
      </c>
      <c r="I541">
        <v>6</v>
      </c>
      <c r="J541">
        <v>0.97</v>
      </c>
      <c r="K541">
        <v>2479</v>
      </c>
      <c r="L541" t="s">
        <v>18</v>
      </c>
    </row>
    <row r="542" spans="1:12" x14ac:dyDescent="0.3">
      <c r="A542">
        <v>47</v>
      </c>
      <c r="B542" t="s">
        <v>130</v>
      </c>
      <c r="C542" t="s">
        <v>131</v>
      </c>
      <c r="D542" t="s">
        <v>24</v>
      </c>
      <c r="E542" t="s">
        <v>65</v>
      </c>
      <c r="F542" t="s">
        <v>66</v>
      </c>
      <c r="G542" s="1">
        <v>45658</v>
      </c>
      <c r="H542">
        <v>209</v>
      </c>
      <c r="I542">
        <v>9</v>
      </c>
      <c r="J542">
        <v>0.89</v>
      </c>
      <c r="K542">
        <v>1963.8</v>
      </c>
      <c r="L542" t="s">
        <v>18</v>
      </c>
    </row>
    <row r="543" spans="1:12" x14ac:dyDescent="0.3">
      <c r="A543">
        <v>47</v>
      </c>
      <c r="B543" t="s">
        <v>130</v>
      </c>
      <c r="C543" t="s">
        <v>131</v>
      </c>
      <c r="D543" t="s">
        <v>24</v>
      </c>
      <c r="E543" t="s">
        <v>65</v>
      </c>
      <c r="F543" t="s">
        <v>66</v>
      </c>
      <c r="G543" s="1">
        <v>45689</v>
      </c>
      <c r="H543">
        <v>288</v>
      </c>
      <c r="I543">
        <v>5</v>
      </c>
      <c r="J543">
        <v>0.86</v>
      </c>
      <c r="K543">
        <v>2611.6</v>
      </c>
      <c r="L543" t="s">
        <v>18</v>
      </c>
    </row>
    <row r="544" spans="1:12" x14ac:dyDescent="0.3">
      <c r="A544">
        <v>47</v>
      </c>
      <c r="B544" t="s">
        <v>130</v>
      </c>
      <c r="C544" t="s">
        <v>131</v>
      </c>
      <c r="D544" t="s">
        <v>24</v>
      </c>
      <c r="E544" t="s">
        <v>65</v>
      </c>
      <c r="F544" t="s">
        <v>66</v>
      </c>
      <c r="G544" s="1">
        <v>45717</v>
      </c>
      <c r="H544">
        <v>373</v>
      </c>
      <c r="I544">
        <v>8</v>
      </c>
      <c r="J544">
        <v>0.93</v>
      </c>
      <c r="K544">
        <v>3308.6</v>
      </c>
      <c r="L544" t="s">
        <v>18</v>
      </c>
    </row>
    <row r="545" spans="1:12" x14ac:dyDescent="0.3">
      <c r="A545">
        <v>47</v>
      </c>
      <c r="B545" t="s">
        <v>130</v>
      </c>
      <c r="C545" t="s">
        <v>131</v>
      </c>
      <c r="D545" t="s">
        <v>24</v>
      </c>
      <c r="E545" t="s">
        <v>65</v>
      </c>
      <c r="F545" t="s">
        <v>66</v>
      </c>
      <c r="G545" s="1">
        <v>45748</v>
      </c>
      <c r="H545">
        <v>354</v>
      </c>
      <c r="I545">
        <v>4</v>
      </c>
      <c r="J545">
        <v>0.85</v>
      </c>
      <c r="K545">
        <v>3152.8</v>
      </c>
      <c r="L545" t="s">
        <v>18</v>
      </c>
    </row>
    <row r="546" spans="1:12" x14ac:dyDescent="0.3">
      <c r="A546">
        <v>47</v>
      </c>
      <c r="B546" t="s">
        <v>130</v>
      </c>
      <c r="C546" t="s">
        <v>131</v>
      </c>
      <c r="D546" t="s">
        <v>24</v>
      </c>
      <c r="E546" t="s">
        <v>65</v>
      </c>
      <c r="F546" t="s">
        <v>66</v>
      </c>
      <c r="G546" s="1">
        <v>45778</v>
      </c>
      <c r="H546">
        <v>362</v>
      </c>
      <c r="I546">
        <v>4</v>
      </c>
      <c r="J546">
        <v>0.85</v>
      </c>
      <c r="K546">
        <v>3218.4</v>
      </c>
      <c r="L546" t="s">
        <v>18</v>
      </c>
    </row>
    <row r="547" spans="1:12" x14ac:dyDescent="0.3">
      <c r="A547">
        <v>47</v>
      </c>
      <c r="B547" t="s">
        <v>130</v>
      </c>
      <c r="C547" t="s">
        <v>131</v>
      </c>
      <c r="D547" t="s">
        <v>24</v>
      </c>
      <c r="E547" t="s">
        <v>65</v>
      </c>
      <c r="F547" t="s">
        <v>66</v>
      </c>
      <c r="G547" s="1">
        <v>45809</v>
      </c>
      <c r="H547">
        <v>238</v>
      </c>
      <c r="I547">
        <v>8</v>
      </c>
      <c r="J547">
        <v>0.86</v>
      </c>
      <c r="K547">
        <v>2201.6</v>
      </c>
      <c r="L547" t="s">
        <v>18</v>
      </c>
    </row>
    <row r="548" spans="1:12" x14ac:dyDescent="0.3">
      <c r="A548">
        <v>47</v>
      </c>
      <c r="B548" t="s">
        <v>130</v>
      </c>
      <c r="C548" t="s">
        <v>131</v>
      </c>
      <c r="D548" t="s">
        <v>24</v>
      </c>
      <c r="E548" t="s">
        <v>65</v>
      </c>
      <c r="F548" t="s">
        <v>66</v>
      </c>
      <c r="G548" s="1">
        <v>45839</v>
      </c>
      <c r="H548">
        <v>169</v>
      </c>
      <c r="I548">
        <v>10</v>
      </c>
      <c r="J548">
        <v>0.89</v>
      </c>
      <c r="K548">
        <v>1635.8</v>
      </c>
      <c r="L548" t="s">
        <v>18</v>
      </c>
    </row>
    <row r="549" spans="1:12" x14ac:dyDescent="0.3">
      <c r="A549">
        <v>47</v>
      </c>
      <c r="B549" t="s">
        <v>130</v>
      </c>
      <c r="C549" t="s">
        <v>131</v>
      </c>
      <c r="D549" t="s">
        <v>24</v>
      </c>
      <c r="E549" t="s">
        <v>65</v>
      </c>
      <c r="F549" t="s">
        <v>66</v>
      </c>
      <c r="G549" s="1">
        <v>45870</v>
      </c>
      <c r="H549">
        <v>378</v>
      </c>
      <c r="I549">
        <v>3</v>
      </c>
      <c r="J549">
        <v>0.98</v>
      </c>
      <c r="K549">
        <v>3349.6</v>
      </c>
      <c r="L549" t="s">
        <v>18</v>
      </c>
    </row>
    <row r="550" spans="1:12" x14ac:dyDescent="0.3">
      <c r="A550">
        <v>47</v>
      </c>
      <c r="B550" t="s">
        <v>130</v>
      </c>
      <c r="C550" t="s">
        <v>131</v>
      </c>
      <c r="D550" t="s">
        <v>24</v>
      </c>
      <c r="E550" t="s">
        <v>65</v>
      </c>
      <c r="F550" t="s">
        <v>66</v>
      </c>
      <c r="G550" s="1">
        <v>45901</v>
      </c>
      <c r="H550">
        <v>356</v>
      </c>
      <c r="I550">
        <v>8</v>
      </c>
      <c r="J550">
        <v>0.91</v>
      </c>
      <c r="K550">
        <v>3169.2</v>
      </c>
      <c r="L550" t="s">
        <v>18</v>
      </c>
    </row>
    <row r="551" spans="1:12" x14ac:dyDescent="0.3">
      <c r="A551">
        <v>47</v>
      </c>
      <c r="B551" t="s">
        <v>130</v>
      </c>
      <c r="C551" t="s">
        <v>131</v>
      </c>
      <c r="D551" t="s">
        <v>24</v>
      </c>
      <c r="E551" t="s">
        <v>65</v>
      </c>
      <c r="F551" t="s">
        <v>66</v>
      </c>
      <c r="G551" s="1">
        <v>45931</v>
      </c>
      <c r="H551">
        <v>225</v>
      </c>
      <c r="I551">
        <v>8</v>
      </c>
      <c r="J551">
        <v>0.9</v>
      </c>
      <c r="K551">
        <v>2095</v>
      </c>
      <c r="L551" t="s">
        <v>18</v>
      </c>
    </row>
    <row r="552" spans="1:12" x14ac:dyDescent="0.3">
      <c r="A552">
        <v>47</v>
      </c>
      <c r="B552" t="s">
        <v>130</v>
      </c>
      <c r="C552" t="s">
        <v>131</v>
      </c>
      <c r="D552" t="s">
        <v>24</v>
      </c>
      <c r="E552" t="s">
        <v>65</v>
      </c>
      <c r="F552" t="s">
        <v>66</v>
      </c>
      <c r="G552" s="1">
        <v>45962</v>
      </c>
      <c r="H552">
        <v>188</v>
      </c>
      <c r="I552">
        <v>5</v>
      </c>
      <c r="J552">
        <v>0.86</v>
      </c>
      <c r="K552">
        <v>1791.6</v>
      </c>
      <c r="L552" t="s">
        <v>17</v>
      </c>
    </row>
    <row r="553" spans="1:12" x14ac:dyDescent="0.3">
      <c r="A553">
        <v>47</v>
      </c>
      <c r="B553" t="s">
        <v>130</v>
      </c>
      <c r="C553" t="s">
        <v>131</v>
      </c>
      <c r="D553" t="s">
        <v>24</v>
      </c>
      <c r="E553" t="s">
        <v>65</v>
      </c>
      <c r="F553" t="s">
        <v>66</v>
      </c>
      <c r="G553" s="1">
        <v>45992</v>
      </c>
      <c r="H553">
        <v>391</v>
      </c>
      <c r="I553">
        <v>2</v>
      </c>
      <c r="J553">
        <v>0.86</v>
      </c>
      <c r="K553">
        <v>3456.2</v>
      </c>
      <c r="L553" t="s">
        <v>18</v>
      </c>
    </row>
    <row r="554" spans="1:12" x14ac:dyDescent="0.3">
      <c r="A554">
        <v>48</v>
      </c>
      <c r="B554" t="s">
        <v>132</v>
      </c>
      <c r="C554" t="s">
        <v>133</v>
      </c>
      <c r="D554" t="s">
        <v>32</v>
      </c>
      <c r="E554" t="s">
        <v>69</v>
      </c>
      <c r="F554" t="s">
        <v>66</v>
      </c>
      <c r="G554" s="1">
        <v>45658</v>
      </c>
      <c r="H554">
        <v>296</v>
      </c>
      <c r="I554">
        <v>10</v>
      </c>
      <c r="J554">
        <v>0.9</v>
      </c>
      <c r="K554">
        <v>3608</v>
      </c>
      <c r="L554" t="s">
        <v>18</v>
      </c>
    </row>
    <row r="555" spans="1:12" x14ac:dyDescent="0.3">
      <c r="A555">
        <v>48</v>
      </c>
      <c r="B555" t="s">
        <v>132</v>
      </c>
      <c r="C555" t="s">
        <v>133</v>
      </c>
      <c r="D555" t="s">
        <v>32</v>
      </c>
      <c r="E555" t="s">
        <v>69</v>
      </c>
      <c r="F555" t="s">
        <v>66</v>
      </c>
      <c r="G555" s="1">
        <v>45689</v>
      </c>
      <c r="H555">
        <v>355</v>
      </c>
      <c r="I555">
        <v>8</v>
      </c>
      <c r="J555">
        <v>0.88</v>
      </c>
      <c r="K555">
        <v>4227.5</v>
      </c>
      <c r="L555" t="s">
        <v>18</v>
      </c>
    </row>
    <row r="556" spans="1:12" x14ac:dyDescent="0.3">
      <c r="A556">
        <v>48</v>
      </c>
      <c r="B556" t="s">
        <v>132</v>
      </c>
      <c r="C556" t="s">
        <v>133</v>
      </c>
      <c r="D556" t="s">
        <v>32</v>
      </c>
      <c r="E556" t="s">
        <v>69</v>
      </c>
      <c r="F556" t="s">
        <v>66</v>
      </c>
      <c r="G556" s="1">
        <v>45717</v>
      </c>
      <c r="H556">
        <v>366</v>
      </c>
      <c r="I556">
        <v>9</v>
      </c>
      <c r="J556">
        <v>0.92</v>
      </c>
      <c r="K556">
        <v>4343</v>
      </c>
      <c r="L556" t="s">
        <v>18</v>
      </c>
    </row>
    <row r="557" spans="1:12" x14ac:dyDescent="0.3">
      <c r="A557">
        <v>48</v>
      </c>
      <c r="B557" t="s">
        <v>132</v>
      </c>
      <c r="C557" t="s">
        <v>133</v>
      </c>
      <c r="D557" t="s">
        <v>32</v>
      </c>
      <c r="E557" t="s">
        <v>69</v>
      </c>
      <c r="F557" t="s">
        <v>66</v>
      </c>
      <c r="G557" s="1">
        <v>45748</v>
      </c>
      <c r="H557">
        <v>150</v>
      </c>
      <c r="I557">
        <v>10</v>
      </c>
      <c r="J557">
        <v>0.9</v>
      </c>
      <c r="K557">
        <v>2075</v>
      </c>
      <c r="L557" t="s">
        <v>18</v>
      </c>
    </row>
    <row r="558" spans="1:12" x14ac:dyDescent="0.3">
      <c r="A558">
        <v>48</v>
      </c>
      <c r="B558" t="s">
        <v>132</v>
      </c>
      <c r="C558" t="s">
        <v>133</v>
      </c>
      <c r="D558" t="s">
        <v>32</v>
      </c>
      <c r="E558" t="s">
        <v>69</v>
      </c>
      <c r="F558" t="s">
        <v>66</v>
      </c>
      <c r="G558" s="1">
        <v>45778</v>
      </c>
      <c r="H558">
        <v>279</v>
      </c>
      <c r="I558">
        <v>6</v>
      </c>
      <c r="J558">
        <v>0.97</v>
      </c>
      <c r="K558">
        <v>3429.5</v>
      </c>
      <c r="L558" t="s">
        <v>18</v>
      </c>
    </row>
    <row r="559" spans="1:12" x14ac:dyDescent="0.3">
      <c r="A559">
        <v>48</v>
      </c>
      <c r="B559" t="s">
        <v>132</v>
      </c>
      <c r="C559" t="s">
        <v>133</v>
      </c>
      <c r="D559" t="s">
        <v>32</v>
      </c>
      <c r="E559" t="s">
        <v>69</v>
      </c>
      <c r="F559" t="s">
        <v>66</v>
      </c>
      <c r="G559" s="1">
        <v>45809</v>
      </c>
      <c r="H559">
        <v>241</v>
      </c>
      <c r="I559">
        <v>10</v>
      </c>
      <c r="J559">
        <v>0.97</v>
      </c>
      <c r="K559">
        <v>3030.5</v>
      </c>
      <c r="L559" t="s">
        <v>18</v>
      </c>
    </row>
    <row r="560" spans="1:12" x14ac:dyDescent="0.3">
      <c r="A560">
        <v>48</v>
      </c>
      <c r="B560" t="s">
        <v>132</v>
      </c>
      <c r="C560" t="s">
        <v>133</v>
      </c>
      <c r="D560" t="s">
        <v>32</v>
      </c>
      <c r="E560" t="s">
        <v>69</v>
      </c>
      <c r="F560" t="s">
        <v>66</v>
      </c>
      <c r="G560" s="1">
        <v>45839</v>
      </c>
      <c r="H560">
        <v>309</v>
      </c>
      <c r="I560">
        <v>2</v>
      </c>
      <c r="J560">
        <v>0.99</v>
      </c>
      <c r="K560">
        <v>3744.5</v>
      </c>
      <c r="L560" t="s">
        <v>18</v>
      </c>
    </row>
    <row r="561" spans="1:12" x14ac:dyDescent="0.3">
      <c r="A561">
        <v>48</v>
      </c>
      <c r="B561" t="s">
        <v>132</v>
      </c>
      <c r="C561" t="s">
        <v>133</v>
      </c>
      <c r="D561" t="s">
        <v>32</v>
      </c>
      <c r="E561" t="s">
        <v>69</v>
      </c>
      <c r="F561" t="s">
        <v>66</v>
      </c>
      <c r="G561" s="1">
        <v>45870</v>
      </c>
      <c r="H561">
        <v>347</v>
      </c>
      <c r="I561">
        <v>5</v>
      </c>
      <c r="J561">
        <v>0.96</v>
      </c>
      <c r="K561">
        <v>4143.5</v>
      </c>
      <c r="L561" t="s">
        <v>18</v>
      </c>
    </row>
    <row r="562" spans="1:12" x14ac:dyDescent="0.3">
      <c r="A562">
        <v>48</v>
      </c>
      <c r="B562" t="s">
        <v>132</v>
      </c>
      <c r="C562" t="s">
        <v>133</v>
      </c>
      <c r="D562" t="s">
        <v>32</v>
      </c>
      <c r="E562" t="s">
        <v>69</v>
      </c>
      <c r="F562" t="s">
        <v>66</v>
      </c>
      <c r="G562" s="1">
        <v>45901</v>
      </c>
      <c r="H562">
        <v>255</v>
      </c>
      <c r="I562">
        <v>6</v>
      </c>
      <c r="J562">
        <v>0.94</v>
      </c>
      <c r="K562">
        <v>3177.5</v>
      </c>
      <c r="L562" t="s">
        <v>18</v>
      </c>
    </row>
    <row r="563" spans="1:12" x14ac:dyDescent="0.3">
      <c r="A563">
        <v>48</v>
      </c>
      <c r="B563" t="s">
        <v>132</v>
      </c>
      <c r="C563" t="s">
        <v>133</v>
      </c>
      <c r="D563" t="s">
        <v>32</v>
      </c>
      <c r="E563" t="s">
        <v>69</v>
      </c>
      <c r="F563" t="s">
        <v>66</v>
      </c>
      <c r="G563" s="1">
        <v>45931</v>
      </c>
      <c r="H563">
        <v>341</v>
      </c>
      <c r="I563">
        <v>6</v>
      </c>
      <c r="J563">
        <v>0.96</v>
      </c>
      <c r="K563">
        <v>4080.5</v>
      </c>
      <c r="L563" t="s">
        <v>18</v>
      </c>
    </row>
    <row r="564" spans="1:12" x14ac:dyDescent="0.3">
      <c r="A564">
        <v>48</v>
      </c>
      <c r="B564" t="s">
        <v>132</v>
      </c>
      <c r="C564" t="s">
        <v>133</v>
      </c>
      <c r="D564" t="s">
        <v>32</v>
      </c>
      <c r="E564" t="s">
        <v>69</v>
      </c>
      <c r="F564" t="s">
        <v>66</v>
      </c>
      <c r="G564" s="1">
        <v>45962</v>
      </c>
      <c r="H564">
        <v>247</v>
      </c>
      <c r="I564">
        <v>8</v>
      </c>
      <c r="J564">
        <v>0.96</v>
      </c>
      <c r="K564">
        <v>3093.5</v>
      </c>
      <c r="L564" t="s">
        <v>17</v>
      </c>
    </row>
    <row r="565" spans="1:12" x14ac:dyDescent="0.3">
      <c r="A565">
        <v>48</v>
      </c>
      <c r="B565" t="s">
        <v>132</v>
      </c>
      <c r="C565" t="s">
        <v>133</v>
      </c>
      <c r="D565" t="s">
        <v>32</v>
      </c>
      <c r="E565" t="s">
        <v>69</v>
      </c>
      <c r="F565" t="s">
        <v>66</v>
      </c>
      <c r="G565" s="1">
        <v>45992</v>
      </c>
      <c r="H565">
        <v>290</v>
      </c>
      <c r="I565">
        <v>6</v>
      </c>
      <c r="J565">
        <v>0.87</v>
      </c>
      <c r="K565">
        <v>3545</v>
      </c>
      <c r="L565" t="s">
        <v>18</v>
      </c>
    </row>
    <row r="566" spans="1:12" x14ac:dyDescent="0.3">
      <c r="A566">
        <v>49</v>
      </c>
      <c r="B566" t="s">
        <v>134</v>
      </c>
      <c r="C566" t="s">
        <v>135</v>
      </c>
      <c r="D566" t="s">
        <v>42</v>
      </c>
      <c r="E566" t="s">
        <v>72</v>
      </c>
      <c r="F566" t="s">
        <v>73</v>
      </c>
      <c r="G566" s="1">
        <v>45658</v>
      </c>
      <c r="H566">
        <v>191</v>
      </c>
      <c r="I566">
        <v>8</v>
      </c>
      <c r="J566">
        <v>0.91</v>
      </c>
      <c r="K566">
        <v>991.8</v>
      </c>
      <c r="L566" t="s">
        <v>18</v>
      </c>
    </row>
    <row r="567" spans="1:12" x14ac:dyDescent="0.3">
      <c r="A567">
        <v>49</v>
      </c>
      <c r="B567" t="s">
        <v>134</v>
      </c>
      <c r="C567" t="s">
        <v>135</v>
      </c>
      <c r="D567" t="s">
        <v>42</v>
      </c>
      <c r="E567" t="s">
        <v>72</v>
      </c>
      <c r="F567" t="s">
        <v>73</v>
      </c>
      <c r="G567" s="1">
        <v>45689</v>
      </c>
      <c r="H567">
        <v>161</v>
      </c>
      <c r="I567">
        <v>6</v>
      </c>
      <c r="J567">
        <v>0.91</v>
      </c>
      <c r="K567">
        <v>847.8</v>
      </c>
      <c r="L567" t="s">
        <v>18</v>
      </c>
    </row>
    <row r="568" spans="1:12" x14ac:dyDescent="0.3">
      <c r="A568">
        <v>49</v>
      </c>
      <c r="B568" t="s">
        <v>134</v>
      </c>
      <c r="C568" t="s">
        <v>135</v>
      </c>
      <c r="D568" t="s">
        <v>42</v>
      </c>
      <c r="E568" t="s">
        <v>72</v>
      </c>
      <c r="F568" t="s">
        <v>73</v>
      </c>
      <c r="G568" s="1">
        <v>45717</v>
      </c>
      <c r="H568">
        <v>383</v>
      </c>
      <c r="I568">
        <v>4</v>
      </c>
      <c r="J568">
        <v>0.96</v>
      </c>
      <c r="K568">
        <v>1913.4</v>
      </c>
      <c r="L568" t="s">
        <v>18</v>
      </c>
    </row>
    <row r="569" spans="1:12" x14ac:dyDescent="0.3">
      <c r="A569">
        <v>49</v>
      </c>
      <c r="B569" t="s">
        <v>134</v>
      </c>
      <c r="C569" t="s">
        <v>135</v>
      </c>
      <c r="D569" t="s">
        <v>42</v>
      </c>
      <c r="E569" t="s">
        <v>72</v>
      </c>
      <c r="F569" t="s">
        <v>73</v>
      </c>
      <c r="G569" s="1">
        <v>45748</v>
      </c>
      <c r="H569">
        <v>287</v>
      </c>
      <c r="I569">
        <v>4</v>
      </c>
      <c r="J569">
        <v>0.99</v>
      </c>
      <c r="K569">
        <v>1452.6</v>
      </c>
      <c r="L569" t="s">
        <v>18</v>
      </c>
    </row>
    <row r="570" spans="1:12" x14ac:dyDescent="0.3">
      <c r="A570">
        <v>49</v>
      </c>
      <c r="B570" t="s">
        <v>134</v>
      </c>
      <c r="C570" t="s">
        <v>135</v>
      </c>
      <c r="D570" t="s">
        <v>42</v>
      </c>
      <c r="E570" t="s">
        <v>72</v>
      </c>
      <c r="F570" t="s">
        <v>73</v>
      </c>
      <c r="G570" s="1">
        <v>45778</v>
      </c>
      <c r="H570">
        <v>397</v>
      </c>
      <c r="I570">
        <v>6</v>
      </c>
      <c r="J570">
        <v>0.96</v>
      </c>
      <c r="K570">
        <v>1980.6</v>
      </c>
      <c r="L570" t="s">
        <v>18</v>
      </c>
    </row>
    <row r="571" spans="1:12" x14ac:dyDescent="0.3">
      <c r="A571">
        <v>49</v>
      </c>
      <c r="B571" t="s">
        <v>134</v>
      </c>
      <c r="C571" t="s">
        <v>135</v>
      </c>
      <c r="D571" t="s">
        <v>42</v>
      </c>
      <c r="E571" t="s">
        <v>72</v>
      </c>
      <c r="F571" t="s">
        <v>73</v>
      </c>
      <c r="G571" s="1">
        <v>45809</v>
      </c>
      <c r="H571">
        <v>151</v>
      </c>
      <c r="I571">
        <v>6</v>
      </c>
      <c r="J571">
        <v>0.92</v>
      </c>
      <c r="K571">
        <v>799.8</v>
      </c>
      <c r="L571" t="s">
        <v>18</v>
      </c>
    </row>
    <row r="572" spans="1:12" x14ac:dyDescent="0.3">
      <c r="A572">
        <v>49</v>
      </c>
      <c r="B572" t="s">
        <v>134</v>
      </c>
      <c r="C572" t="s">
        <v>135</v>
      </c>
      <c r="D572" t="s">
        <v>42</v>
      </c>
      <c r="E572" t="s">
        <v>72</v>
      </c>
      <c r="F572" t="s">
        <v>73</v>
      </c>
      <c r="G572" s="1">
        <v>45839</v>
      </c>
      <c r="H572">
        <v>395</v>
      </c>
      <c r="I572">
        <v>9</v>
      </c>
      <c r="J572">
        <v>0.92</v>
      </c>
      <c r="K572">
        <v>1971</v>
      </c>
      <c r="L572" t="s">
        <v>18</v>
      </c>
    </row>
    <row r="573" spans="1:12" x14ac:dyDescent="0.3">
      <c r="A573">
        <v>49</v>
      </c>
      <c r="B573" t="s">
        <v>134</v>
      </c>
      <c r="C573" t="s">
        <v>135</v>
      </c>
      <c r="D573" t="s">
        <v>42</v>
      </c>
      <c r="E573" t="s">
        <v>72</v>
      </c>
      <c r="F573" t="s">
        <v>73</v>
      </c>
      <c r="G573" s="1">
        <v>45870</v>
      </c>
      <c r="H573">
        <v>336</v>
      </c>
      <c r="I573">
        <v>10</v>
      </c>
      <c r="J573">
        <v>0.93</v>
      </c>
      <c r="K573">
        <v>1687.8</v>
      </c>
      <c r="L573" t="s">
        <v>18</v>
      </c>
    </row>
    <row r="574" spans="1:12" x14ac:dyDescent="0.3">
      <c r="A574">
        <v>49</v>
      </c>
      <c r="B574" t="s">
        <v>134</v>
      </c>
      <c r="C574" t="s">
        <v>135</v>
      </c>
      <c r="D574" t="s">
        <v>42</v>
      </c>
      <c r="E574" t="s">
        <v>72</v>
      </c>
      <c r="F574" t="s">
        <v>73</v>
      </c>
      <c r="G574" s="1">
        <v>45901</v>
      </c>
      <c r="H574">
        <v>345</v>
      </c>
      <c r="I574">
        <v>7</v>
      </c>
      <c r="J574">
        <v>0.96</v>
      </c>
      <c r="K574">
        <v>1731</v>
      </c>
      <c r="L574" t="s">
        <v>18</v>
      </c>
    </row>
    <row r="575" spans="1:12" x14ac:dyDescent="0.3">
      <c r="A575">
        <v>49</v>
      </c>
      <c r="B575" t="s">
        <v>134</v>
      </c>
      <c r="C575" t="s">
        <v>135</v>
      </c>
      <c r="D575" t="s">
        <v>42</v>
      </c>
      <c r="E575" t="s">
        <v>72</v>
      </c>
      <c r="F575" t="s">
        <v>73</v>
      </c>
      <c r="G575" s="1">
        <v>45931</v>
      </c>
      <c r="H575">
        <v>327</v>
      </c>
      <c r="I575">
        <v>7</v>
      </c>
      <c r="J575">
        <v>0.96</v>
      </c>
      <c r="K575">
        <v>1644.6</v>
      </c>
      <c r="L575" t="s">
        <v>18</v>
      </c>
    </row>
    <row r="576" spans="1:12" x14ac:dyDescent="0.3">
      <c r="A576">
        <v>49</v>
      </c>
      <c r="B576" t="s">
        <v>134</v>
      </c>
      <c r="C576" t="s">
        <v>135</v>
      </c>
      <c r="D576" t="s">
        <v>42</v>
      </c>
      <c r="E576" t="s">
        <v>72</v>
      </c>
      <c r="F576" t="s">
        <v>73</v>
      </c>
      <c r="G576" s="1">
        <v>45962</v>
      </c>
      <c r="H576">
        <v>331</v>
      </c>
      <c r="I576">
        <v>3</v>
      </c>
      <c r="J576">
        <v>0.85</v>
      </c>
      <c r="K576">
        <v>1663.8</v>
      </c>
      <c r="L576" t="s">
        <v>18</v>
      </c>
    </row>
    <row r="577" spans="1:12" x14ac:dyDescent="0.3">
      <c r="A577">
        <v>49</v>
      </c>
      <c r="B577" t="s">
        <v>134</v>
      </c>
      <c r="C577" t="s">
        <v>135</v>
      </c>
      <c r="D577" t="s">
        <v>42</v>
      </c>
      <c r="E577" t="s">
        <v>72</v>
      </c>
      <c r="F577" t="s">
        <v>73</v>
      </c>
      <c r="G577" s="1">
        <v>45992</v>
      </c>
      <c r="H577">
        <v>393</v>
      </c>
      <c r="I577">
        <v>2</v>
      </c>
      <c r="J577">
        <v>0.92</v>
      </c>
      <c r="K577">
        <v>1961.4</v>
      </c>
      <c r="L577" t="s">
        <v>18</v>
      </c>
    </row>
    <row r="578" spans="1:12" x14ac:dyDescent="0.3">
      <c r="A578">
        <v>50</v>
      </c>
      <c r="B578" t="s">
        <v>136</v>
      </c>
      <c r="C578" t="s">
        <v>137</v>
      </c>
      <c r="D578" t="s">
        <v>14</v>
      </c>
      <c r="E578" t="s">
        <v>76</v>
      </c>
      <c r="F578" t="s">
        <v>77</v>
      </c>
      <c r="G578" s="1">
        <v>45658</v>
      </c>
      <c r="H578">
        <v>277</v>
      </c>
      <c r="I578">
        <v>8</v>
      </c>
      <c r="J578">
        <v>0.87</v>
      </c>
      <c r="K578">
        <v>1900.5</v>
      </c>
      <c r="L578" t="s">
        <v>18</v>
      </c>
    </row>
    <row r="579" spans="1:12" x14ac:dyDescent="0.3">
      <c r="A579">
        <v>50</v>
      </c>
      <c r="B579" t="s">
        <v>136</v>
      </c>
      <c r="C579" t="s">
        <v>137</v>
      </c>
      <c r="D579" t="s">
        <v>14</v>
      </c>
      <c r="E579" t="s">
        <v>76</v>
      </c>
      <c r="F579" t="s">
        <v>77</v>
      </c>
      <c r="G579" s="1">
        <v>45689</v>
      </c>
      <c r="H579">
        <v>338</v>
      </c>
      <c r="I579">
        <v>6</v>
      </c>
      <c r="J579">
        <v>0.99</v>
      </c>
      <c r="K579">
        <v>2297</v>
      </c>
      <c r="L579" t="s">
        <v>17</v>
      </c>
    </row>
    <row r="580" spans="1:12" x14ac:dyDescent="0.3">
      <c r="A580">
        <v>50</v>
      </c>
      <c r="B580" t="s">
        <v>136</v>
      </c>
      <c r="C580" t="s">
        <v>137</v>
      </c>
      <c r="D580" t="s">
        <v>14</v>
      </c>
      <c r="E580" t="s">
        <v>76</v>
      </c>
      <c r="F580" t="s">
        <v>77</v>
      </c>
      <c r="G580" s="1">
        <v>45717</v>
      </c>
      <c r="H580">
        <v>192</v>
      </c>
      <c r="I580">
        <v>7</v>
      </c>
      <c r="J580">
        <v>0.85</v>
      </c>
      <c r="K580">
        <v>1348</v>
      </c>
      <c r="L580" t="s">
        <v>18</v>
      </c>
    </row>
    <row r="581" spans="1:12" x14ac:dyDescent="0.3">
      <c r="A581">
        <v>50</v>
      </c>
      <c r="B581" t="s">
        <v>136</v>
      </c>
      <c r="C581" t="s">
        <v>137</v>
      </c>
      <c r="D581" t="s">
        <v>14</v>
      </c>
      <c r="E581" t="s">
        <v>76</v>
      </c>
      <c r="F581" t="s">
        <v>77</v>
      </c>
      <c r="G581" s="1">
        <v>45748</v>
      </c>
      <c r="H581">
        <v>235</v>
      </c>
      <c r="I581">
        <v>10</v>
      </c>
      <c r="J581">
        <v>0.92</v>
      </c>
      <c r="K581">
        <v>1627.5</v>
      </c>
      <c r="L581" t="s">
        <v>18</v>
      </c>
    </row>
    <row r="582" spans="1:12" x14ac:dyDescent="0.3">
      <c r="A582">
        <v>50</v>
      </c>
      <c r="B582" t="s">
        <v>136</v>
      </c>
      <c r="C582" t="s">
        <v>137</v>
      </c>
      <c r="D582" t="s">
        <v>14</v>
      </c>
      <c r="E582" t="s">
        <v>76</v>
      </c>
      <c r="F582" t="s">
        <v>77</v>
      </c>
      <c r="G582" s="1">
        <v>45778</v>
      </c>
      <c r="H582">
        <v>287</v>
      </c>
      <c r="I582">
        <v>9</v>
      </c>
      <c r="J582">
        <v>0.96</v>
      </c>
      <c r="K582">
        <v>1965.5</v>
      </c>
      <c r="L582" t="s">
        <v>18</v>
      </c>
    </row>
    <row r="583" spans="1:12" x14ac:dyDescent="0.3">
      <c r="A583">
        <v>50</v>
      </c>
      <c r="B583" t="s">
        <v>136</v>
      </c>
      <c r="C583" t="s">
        <v>137</v>
      </c>
      <c r="D583" t="s">
        <v>14</v>
      </c>
      <c r="E583" t="s">
        <v>76</v>
      </c>
      <c r="F583" t="s">
        <v>77</v>
      </c>
      <c r="G583" s="1">
        <v>45809</v>
      </c>
      <c r="H583">
        <v>325</v>
      </c>
      <c r="I583">
        <v>10</v>
      </c>
      <c r="J583">
        <v>0.92</v>
      </c>
      <c r="K583">
        <v>2212.5</v>
      </c>
      <c r="L583" t="s">
        <v>18</v>
      </c>
    </row>
    <row r="584" spans="1:12" x14ac:dyDescent="0.3">
      <c r="A584">
        <v>50</v>
      </c>
      <c r="B584" t="s">
        <v>136</v>
      </c>
      <c r="C584" t="s">
        <v>137</v>
      </c>
      <c r="D584" t="s">
        <v>14</v>
      </c>
      <c r="E584" t="s">
        <v>76</v>
      </c>
      <c r="F584" t="s">
        <v>77</v>
      </c>
      <c r="G584" s="1">
        <v>45839</v>
      </c>
      <c r="H584">
        <v>163</v>
      </c>
      <c r="I584">
        <v>3</v>
      </c>
      <c r="J584">
        <v>0.97</v>
      </c>
      <c r="K584">
        <v>1159.5</v>
      </c>
      <c r="L584" t="s">
        <v>18</v>
      </c>
    </row>
    <row r="585" spans="1:12" x14ac:dyDescent="0.3">
      <c r="A585">
        <v>50</v>
      </c>
      <c r="B585" t="s">
        <v>136</v>
      </c>
      <c r="C585" t="s">
        <v>137</v>
      </c>
      <c r="D585" t="s">
        <v>14</v>
      </c>
      <c r="E585" t="s">
        <v>76</v>
      </c>
      <c r="F585" t="s">
        <v>77</v>
      </c>
      <c r="G585" s="1">
        <v>45870</v>
      </c>
      <c r="H585">
        <v>284</v>
      </c>
      <c r="I585">
        <v>6</v>
      </c>
      <c r="J585">
        <v>0.93</v>
      </c>
      <c r="K585">
        <v>1946</v>
      </c>
      <c r="L585" t="s">
        <v>18</v>
      </c>
    </row>
    <row r="586" spans="1:12" x14ac:dyDescent="0.3">
      <c r="A586">
        <v>50</v>
      </c>
      <c r="B586" t="s">
        <v>136</v>
      </c>
      <c r="C586" t="s">
        <v>137</v>
      </c>
      <c r="D586" t="s">
        <v>14</v>
      </c>
      <c r="E586" t="s">
        <v>76</v>
      </c>
      <c r="F586" t="s">
        <v>77</v>
      </c>
      <c r="G586" s="1">
        <v>45901</v>
      </c>
      <c r="H586">
        <v>189</v>
      </c>
      <c r="I586">
        <v>10</v>
      </c>
      <c r="J586">
        <v>0.87</v>
      </c>
      <c r="K586">
        <v>1328.5</v>
      </c>
      <c r="L586" t="s">
        <v>18</v>
      </c>
    </row>
    <row r="587" spans="1:12" x14ac:dyDescent="0.3">
      <c r="A587">
        <v>50</v>
      </c>
      <c r="B587" t="s">
        <v>136</v>
      </c>
      <c r="C587" t="s">
        <v>137</v>
      </c>
      <c r="D587" t="s">
        <v>14</v>
      </c>
      <c r="E587" t="s">
        <v>76</v>
      </c>
      <c r="F587" t="s">
        <v>77</v>
      </c>
      <c r="G587" s="1">
        <v>45931</v>
      </c>
      <c r="H587">
        <v>258</v>
      </c>
      <c r="I587">
        <v>7</v>
      </c>
      <c r="J587">
        <v>0.87</v>
      </c>
      <c r="K587">
        <v>1777</v>
      </c>
      <c r="L587" t="s">
        <v>18</v>
      </c>
    </row>
    <row r="588" spans="1:12" x14ac:dyDescent="0.3">
      <c r="A588">
        <v>50</v>
      </c>
      <c r="B588" t="s">
        <v>136</v>
      </c>
      <c r="C588" t="s">
        <v>137</v>
      </c>
      <c r="D588" t="s">
        <v>14</v>
      </c>
      <c r="E588" t="s">
        <v>76</v>
      </c>
      <c r="F588" t="s">
        <v>77</v>
      </c>
      <c r="G588" s="1">
        <v>45962</v>
      </c>
      <c r="H588">
        <v>191</v>
      </c>
      <c r="I588">
        <v>3</v>
      </c>
      <c r="J588">
        <v>0.9</v>
      </c>
      <c r="K588">
        <v>1341.5</v>
      </c>
      <c r="L588" t="s">
        <v>18</v>
      </c>
    </row>
    <row r="589" spans="1:12" x14ac:dyDescent="0.3">
      <c r="A589">
        <v>50</v>
      </c>
      <c r="B589" t="s">
        <v>136</v>
      </c>
      <c r="C589" t="s">
        <v>137</v>
      </c>
      <c r="D589" t="s">
        <v>14</v>
      </c>
      <c r="E589" t="s">
        <v>76</v>
      </c>
      <c r="F589" t="s">
        <v>77</v>
      </c>
      <c r="G589" s="1">
        <v>45992</v>
      </c>
      <c r="H589">
        <v>365</v>
      </c>
      <c r="I589">
        <v>2</v>
      </c>
      <c r="J589">
        <v>0.98</v>
      </c>
      <c r="K589">
        <v>2472.5</v>
      </c>
      <c r="L589" t="s">
        <v>18</v>
      </c>
    </row>
    <row r="590" spans="1:12" x14ac:dyDescent="0.3">
      <c r="A590">
        <v>51</v>
      </c>
      <c r="B590" t="s">
        <v>138</v>
      </c>
      <c r="C590" t="s">
        <v>139</v>
      </c>
      <c r="D590" t="s">
        <v>24</v>
      </c>
      <c r="E590" t="s">
        <v>15</v>
      </c>
      <c r="F590" t="s">
        <v>16</v>
      </c>
      <c r="G590" s="1">
        <v>45658</v>
      </c>
      <c r="H590">
        <v>288</v>
      </c>
      <c r="I590">
        <v>6</v>
      </c>
      <c r="J590">
        <v>0.88</v>
      </c>
      <c r="K590">
        <v>2611.6</v>
      </c>
      <c r="L590" t="s">
        <v>18</v>
      </c>
    </row>
    <row r="591" spans="1:12" x14ac:dyDescent="0.3">
      <c r="A591">
        <v>51</v>
      </c>
      <c r="B591" t="s">
        <v>138</v>
      </c>
      <c r="C591" t="s">
        <v>139</v>
      </c>
      <c r="D591" t="s">
        <v>24</v>
      </c>
      <c r="E591" t="s">
        <v>15</v>
      </c>
      <c r="F591" t="s">
        <v>16</v>
      </c>
      <c r="G591" s="1">
        <v>45689</v>
      </c>
      <c r="H591">
        <v>287</v>
      </c>
      <c r="I591">
        <v>2</v>
      </c>
      <c r="J591">
        <v>0.92</v>
      </c>
      <c r="K591">
        <v>2603.4</v>
      </c>
      <c r="L591" t="s">
        <v>18</v>
      </c>
    </row>
    <row r="592" spans="1:12" x14ac:dyDescent="0.3">
      <c r="A592">
        <v>51</v>
      </c>
      <c r="B592" t="s">
        <v>138</v>
      </c>
      <c r="C592" t="s">
        <v>139</v>
      </c>
      <c r="D592" t="s">
        <v>24</v>
      </c>
      <c r="E592" t="s">
        <v>15</v>
      </c>
      <c r="F592" t="s">
        <v>16</v>
      </c>
      <c r="G592" s="1">
        <v>45717</v>
      </c>
      <c r="H592">
        <v>375</v>
      </c>
      <c r="I592">
        <v>5</v>
      </c>
      <c r="J592">
        <v>0.92</v>
      </c>
      <c r="K592">
        <v>3325</v>
      </c>
      <c r="L592" t="s">
        <v>17</v>
      </c>
    </row>
    <row r="593" spans="1:12" x14ac:dyDescent="0.3">
      <c r="A593">
        <v>51</v>
      </c>
      <c r="B593" t="s">
        <v>138</v>
      </c>
      <c r="C593" t="s">
        <v>139</v>
      </c>
      <c r="D593" t="s">
        <v>24</v>
      </c>
      <c r="E593" t="s">
        <v>15</v>
      </c>
      <c r="F593" t="s">
        <v>16</v>
      </c>
      <c r="G593" s="1">
        <v>45748</v>
      </c>
      <c r="H593">
        <v>198</v>
      </c>
      <c r="I593">
        <v>10</v>
      </c>
      <c r="J593">
        <v>0.88</v>
      </c>
      <c r="K593">
        <v>1873.6</v>
      </c>
      <c r="L593" t="s">
        <v>18</v>
      </c>
    </row>
    <row r="594" spans="1:12" x14ac:dyDescent="0.3">
      <c r="A594">
        <v>51</v>
      </c>
      <c r="B594" t="s">
        <v>138</v>
      </c>
      <c r="C594" t="s">
        <v>139</v>
      </c>
      <c r="D594" t="s">
        <v>24</v>
      </c>
      <c r="E594" t="s">
        <v>15</v>
      </c>
      <c r="F594" t="s">
        <v>16</v>
      </c>
      <c r="G594" s="1">
        <v>45778</v>
      </c>
      <c r="H594">
        <v>332</v>
      </c>
      <c r="I594">
        <v>8</v>
      </c>
      <c r="J594">
        <v>0.94</v>
      </c>
      <c r="K594">
        <v>2972.4</v>
      </c>
      <c r="L594" t="s">
        <v>18</v>
      </c>
    </row>
    <row r="595" spans="1:12" x14ac:dyDescent="0.3">
      <c r="A595">
        <v>51</v>
      </c>
      <c r="B595" t="s">
        <v>138</v>
      </c>
      <c r="C595" t="s">
        <v>139</v>
      </c>
      <c r="D595" t="s">
        <v>24</v>
      </c>
      <c r="E595" t="s">
        <v>15</v>
      </c>
      <c r="F595" t="s">
        <v>16</v>
      </c>
      <c r="G595" s="1">
        <v>45809</v>
      </c>
      <c r="H595">
        <v>249</v>
      </c>
      <c r="I595">
        <v>4</v>
      </c>
      <c r="J595">
        <v>0.89</v>
      </c>
      <c r="K595">
        <v>2291.8000000000002</v>
      </c>
      <c r="L595" t="s">
        <v>18</v>
      </c>
    </row>
    <row r="596" spans="1:12" x14ac:dyDescent="0.3">
      <c r="A596">
        <v>51</v>
      </c>
      <c r="B596" t="s">
        <v>138</v>
      </c>
      <c r="C596" t="s">
        <v>139</v>
      </c>
      <c r="D596" t="s">
        <v>24</v>
      </c>
      <c r="E596" t="s">
        <v>15</v>
      </c>
      <c r="F596" t="s">
        <v>16</v>
      </c>
      <c r="G596" s="1">
        <v>45839</v>
      </c>
      <c r="H596">
        <v>345</v>
      </c>
      <c r="I596">
        <v>7</v>
      </c>
      <c r="J596">
        <v>0.89</v>
      </c>
      <c r="K596">
        <v>3079</v>
      </c>
      <c r="L596" t="s">
        <v>17</v>
      </c>
    </row>
    <row r="597" spans="1:12" x14ac:dyDescent="0.3">
      <c r="A597">
        <v>51</v>
      </c>
      <c r="B597" t="s">
        <v>138</v>
      </c>
      <c r="C597" t="s">
        <v>139</v>
      </c>
      <c r="D597" t="s">
        <v>24</v>
      </c>
      <c r="E597" t="s">
        <v>15</v>
      </c>
      <c r="F597" t="s">
        <v>16</v>
      </c>
      <c r="G597" s="1">
        <v>45870</v>
      </c>
      <c r="H597">
        <v>342</v>
      </c>
      <c r="I597">
        <v>5</v>
      </c>
      <c r="J597">
        <v>0.95</v>
      </c>
      <c r="K597">
        <v>3054.4</v>
      </c>
      <c r="L597" t="s">
        <v>18</v>
      </c>
    </row>
    <row r="598" spans="1:12" x14ac:dyDescent="0.3">
      <c r="A598">
        <v>51</v>
      </c>
      <c r="B598" t="s">
        <v>138</v>
      </c>
      <c r="C598" t="s">
        <v>139</v>
      </c>
      <c r="D598" t="s">
        <v>24</v>
      </c>
      <c r="E598" t="s">
        <v>15</v>
      </c>
      <c r="F598" t="s">
        <v>16</v>
      </c>
      <c r="G598" s="1">
        <v>45901</v>
      </c>
      <c r="H598">
        <v>206</v>
      </c>
      <c r="I598">
        <v>10</v>
      </c>
      <c r="J598">
        <v>0.92</v>
      </c>
      <c r="K598">
        <v>1939.2</v>
      </c>
      <c r="L598" t="s">
        <v>18</v>
      </c>
    </row>
    <row r="599" spans="1:12" x14ac:dyDescent="0.3">
      <c r="A599">
        <v>51</v>
      </c>
      <c r="B599" t="s">
        <v>138</v>
      </c>
      <c r="C599" t="s">
        <v>139</v>
      </c>
      <c r="D599" t="s">
        <v>24</v>
      </c>
      <c r="E599" t="s">
        <v>15</v>
      </c>
      <c r="F599" t="s">
        <v>16</v>
      </c>
      <c r="G599" s="1">
        <v>45931</v>
      </c>
      <c r="H599">
        <v>315</v>
      </c>
      <c r="I599">
        <v>4</v>
      </c>
      <c r="J599">
        <v>0.98</v>
      </c>
      <c r="K599">
        <v>2833</v>
      </c>
      <c r="L599" t="s">
        <v>18</v>
      </c>
    </row>
    <row r="600" spans="1:12" x14ac:dyDescent="0.3">
      <c r="A600">
        <v>51</v>
      </c>
      <c r="B600" t="s">
        <v>138</v>
      </c>
      <c r="C600" t="s">
        <v>139</v>
      </c>
      <c r="D600" t="s">
        <v>24</v>
      </c>
      <c r="E600" t="s">
        <v>15</v>
      </c>
      <c r="F600" t="s">
        <v>16</v>
      </c>
      <c r="G600" s="1">
        <v>45962</v>
      </c>
      <c r="H600">
        <v>203</v>
      </c>
      <c r="I600">
        <v>6</v>
      </c>
      <c r="J600">
        <v>0.93</v>
      </c>
      <c r="K600">
        <v>1914.6</v>
      </c>
      <c r="L600" t="s">
        <v>18</v>
      </c>
    </row>
    <row r="601" spans="1:12" x14ac:dyDescent="0.3">
      <c r="A601">
        <v>51</v>
      </c>
      <c r="B601" t="s">
        <v>138</v>
      </c>
      <c r="C601" t="s">
        <v>139</v>
      </c>
      <c r="D601" t="s">
        <v>24</v>
      </c>
      <c r="E601" t="s">
        <v>15</v>
      </c>
      <c r="F601" t="s">
        <v>16</v>
      </c>
      <c r="G601" s="1">
        <v>45992</v>
      </c>
      <c r="H601">
        <v>171</v>
      </c>
      <c r="I601">
        <v>3</v>
      </c>
      <c r="J601">
        <v>0.89</v>
      </c>
      <c r="K601">
        <v>1652.2</v>
      </c>
      <c r="L601" t="s">
        <v>18</v>
      </c>
    </row>
    <row r="602" spans="1:12" x14ac:dyDescent="0.3">
      <c r="A602">
        <v>52</v>
      </c>
      <c r="B602" t="s">
        <v>140</v>
      </c>
      <c r="C602" t="s">
        <v>141</v>
      </c>
      <c r="D602" t="s">
        <v>32</v>
      </c>
      <c r="E602" t="s">
        <v>21</v>
      </c>
      <c r="F602" t="s">
        <v>16</v>
      </c>
      <c r="G602" s="1">
        <v>45658</v>
      </c>
      <c r="H602">
        <v>230</v>
      </c>
      <c r="I602">
        <v>9</v>
      </c>
      <c r="J602">
        <v>0.9</v>
      </c>
      <c r="K602">
        <v>2915</v>
      </c>
      <c r="L602" t="s">
        <v>18</v>
      </c>
    </row>
    <row r="603" spans="1:12" x14ac:dyDescent="0.3">
      <c r="A603">
        <v>52</v>
      </c>
      <c r="B603" t="s">
        <v>140</v>
      </c>
      <c r="C603" t="s">
        <v>141</v>
      </c>
      <c r="D603" t="s">
        <v>32</v>
      </c>
      <c r="E603" t="s">
        <v>21</v>
      </c>
      <c r="F603" t="s">
        <v>16</v>
      </c>
      <c r="G603" s="1">
        <v>45689</v>
      </c>
      <c r="H603">
        <v>366</v>
      </c>
      <c r="I603">
        <v>4</v>
      </c>
      <c r="J603">
        <v>0.97</v>
      </c>
      <c r="K603">
        <v>4343</v>
      </c>
      <c r="L603" t="s">
        <v>18</v>
      </c>
    </row>
    <row r="604" spans="1:12" x14ac:dyDescent="0.3">
      <c r="A604">
        <v>52</v>
      </c>
      <c r="B604" t="s">
        <v>140</v>
      </c>
      <c r="C604" t="s">
        <v>141</v>
      </c>
      <c r="D604" t="s">
        <v>32</v>
      </c>
      <c r="E604" t="s">
        <v>21</v>
      </c>
      <c r="F604" t="s">
        <v>16</v>
      </c>
      <c r="G604" s="1">
        <v>45717</v>
      </c>
      <c r="H604">
        <v>345</v>
      </c>
      <c r="I604">
        <v>4</v>
      </c>
      <c r="J604">
        <v>0.99</v>
      </c>
      <c r="K604">
        <v>4122.5</v>
      </c>
      <c r="L604" t="s">
        <v>18</v>
      </c>
    </row>
    <row r="605" spans="1:12" x14ac:dyDescent="0.3">
      <c r="A605">
        <v>52</v>
      </c>
      <c r="B605" t="s">
        <v>140</v>
      </c>
      <c r="C605" t="s">
        <v>141</v>
      </c>
      <c r="D605" t="s">
        <v>32</v>
      </c>
      <c r="E605" t="s">
        <v>21</v>
      </c>
      <c r="F605" t="s">
        <v>16</v>
      </c>
      <c r="G605" s="1">
        <v>45748</v>
      </c>
      <c r="H605">
        <v>249</v>
      </c>
      <c r="I605">
        <v>9</v>
      </c>
      <c r="J605">
        <v>0.86</v>
      </c>
      <c r="K605">
        <v>3114.5</v>
      </c>
      <c r="L605" t="s">
        <v>18</v>
      </c>
    </row>
    <row r="606" spans="1:12" x14ac:dyDescent="0.3">
      <c r="A606">
        <v>52</v>
      </c>
      <c r="B606" t="s">
        <v>140</v>
      </c>
      <c r="C606" t="s">
        <v>141</v>
      </c>
      <c r="D606" t="s">
        <v>32</v>
      </c>
      <c r="E606" t="s">
        <v>21</v>
      </c>
      <c r="F606" t="s">
        <v>16</v>
      </c>
      <c r="G606" s="1">
        <v>45778</v>
      </c>
      <c r="H606">
        <v>164</v>
      </c>
      <c r="I606">
        <v>8</v>
      </c>
      <c r="J606">
        <v>0.92</v>
      </c>
      <c r="K606">
        <v>2222</v>
      </c>
      <c r="L606" t="s">
        <v>18</v>
      </c>
    </row>
    <row r="607" spans="1:12" x14ac:dyDescent="0.3">
      <c r="A607">
        <v>52</v>
      </c>
      <c r="B607" t="s">
        <v>140</v>
      </c>
      <c r="C607" t="s">
        <v>141</v>
      </c>
      <c r="D607" t="s">
        <v>32</v>
      </c>
      <c r="E607" t="s">
        <v>21</v>
      </c>
      <c r="F607" t="s">
        <v>16</v>
      </c>
      <c r="G607" s="1">
        <v>45809</v>
      </c>
      <c r="H607">
        <v>241</v>
      </c>
      <c r="I607">
        <v>2</v>
      </c>
      <c r="J607">
        <v>0.9</v>
      </c>
      <c r="K607">
        <v>3030.5</v>
      </c>
      <c r="L607" t="s">
        <v>18</v>
      </c>
    </row>
    <row r="608" spans="1:12" x14ac:dyDescent="0.3">
      <c r="A608">
        <v>52</v>
      </c>
      <c r="B608" t="s">
        <v>140</v>
      </c>
      <c r="C608" t="s">
        <v>141</v>
      </c>
      <c r="D608" t="s">
        <v>32</v>
      </c>
      <c r="E608" t="s">
        <v>21</v>
      </c>
      <c r="F608" t="s">
        <v>16</v>
      </c>
      <c r="G608" s="1">
        <v>45839</v>
      </c>
      <c r="H608">
        <v>245</v>
      </c>
      <c r="I608">
        <v>4</v>
      </c>
      <c r="J608">
        <v>0.97</v>
      </c>
      <c r="K608">
        <v>3072.5</v>
      </c>
      <c r="L608" t="s">
        <v>18</v>
      </c>
    </row>
    <row r="609" spans="1:12" x14ac:dyDescent="0.3">
      <c r="A609">
        <v>52</v>
      </c>
      <c r="B609" t="s">
        <v>140</v>
      </c>
      <c r="C609" t="s">
        <v>141</v>
      </c>
      <c r="D609" t="s">
        <v>32</v>
      </c>
      <c r="E609" t="s">
        <v>21</v>
      </c>
      <c r="F609" t="s">
        <v>16</v>
      </c>
      <c r="G609" s="1">
        <v>45870</v>
      </c>
      <c r="H609">
        <v>388</v>
      </c>
      <c r="I609">
        <v>4</v>
      </c>
      <c r="J609">
        <v>0.94</v>
      </c>
      <c r="K609">
        <v>4574</v>
      </c>
      <c r="L609" t="s">
        <v>18</v>
      </c>
    </row>
    <row r="610" spans="1:12" x14ac:dyDescent="0.3">
      <c r="A610">
        <v>52</v>
      </c>
      <c r="B610" t="s">
        <v>140</v>
      </c>
      <c r="C610" t="s">
        <v>141</v>
      </c>
      <c r="D610" t="s">
        <v>32</v>
      </c>
      <c r="E610" t="s">
        <v>21</v>
      </c>
      <c r="F610" t="s">
        <v>16</v>
      </c>
      <c r="G610" s="1">
        <v>45901</v>
      </c>
      <c r="H610">
        <v>380</v>
      </c>
      <c r="I610">
        <v>5</v>
      </c>
      <c r="J610">
        <v>0.9</v>
      </c>
      <c r="K610">
        <v>4490</v>
      </c>
      <c r="L610" t="s">
        <v>17</v>
      </c>
    </row>
    <row r="611" spans="1:12" x14ac:dyDescent="0.3">
      <c r="A611">
        <v>52</v>
      </c>
      <c r="B611" t="s">
        <v>140</v>
      </c>
      <c r="C611" t="s">
        <v>141</v>
      </c>
      <c r="D611" t="s">
        <v>32</v>
      </c>
      <c r="E611" t="s">
        <v>21</v>
      </c>
      <c r="F611" t="s">
        <v>16</v>
      </c>
      <c r="G611" s="1">
        <v>45931</v>
      </c>
      <c r="H611">
        <v>260</v>
      </c>
      <c r="I611">
        <v>2</v>
      </c>
      <c r="J611">
        <v>0.93</v>
      </c>
      <c r="K611">
        <v>3230</v>
      </c>
      <c r="L611" t="s">
        <v>18</v>
      </c>
    </row>
    <row r="612" spans="1:12" x14ac:dyDescent="0.3">
      <c r="A612">
        <v>52</v>
      </c>
      <c r="B612" t="s">
        <v>140</v>
      </c>
      <c r="C612" t="s">
        <v>141</v>
      </c>
      <c r="D612" t="s">
        <v>32</v>
      </c>
      <c r="E612" t="s">
        <v>21</v>
      </c>
      <c r="F612" t="s">
        <v>16</v>
      </c>
      <c r="G612" s="1">
        <v>45962</v>
      </c>
      <c r="H612">
        <v>341</v>
      </c>
      <c r="I612">
        <v>9</v>
      </c>
      <c r="J612">
        <v>0.94</v>
      </c>
      <c r="K612">
        <v>4080.5</v>
      </c>
      <c r="L612" t="s">
        <v>18</v>
      </c>
    </row>
    <row r="613" spans="1:12" x14ac:dyDescent="0.3">
      <c r="A613">
        <v>52</v>
      </c>
      <c r="B613" t="s">
        <v>140</v>
      </c>
      <c r="C613" t="s">
        <v>141</v>
      </c>
      <c r="D613" t="s">
        <v>32</v>
      </c>
      <c r="E613" t="s">
        <v>21</v>
      </c>
      <c r="F613" t="s">
        <v>16</v>
      </c>
      <c r="G613" s="1">
        <v>45992</v>
      </c>
      <c r="H613">
        <v>150</v>
      </c>
      <c r="I613">
        <v>3</v>
      </c>
      <c r="J613">
        <v>0.89</v>
      </c>
      <c r="K613">
        <v>2075</v>
      </c>
      <c r="L613" t="s">
        <v>18</v>
      </c>
    </row>
    <row r="614" spans="1:12" x14ac:dyDescent="0.3">
      <c r="A614">
        <v>53</v>
      </c>
      <c r="B614" t="s">
        <v>142</v>
      </c>
      <c r="C614" t="s">
        <v>143</v>
      </c>
      <c r="D614" t="s">
        <v>42</v>
      </c>
      <c r="E614" t="s">
        <v>39</v>
      </c>
      <c r="F614" t="s">
        <v>16</v>
      </c>
      <c r="G614" s="1">
        <v>45658</v>
      </c>
      <c r="H614">
        <v>237</v>
      </c>
      <c r="I614">
        <v>7</v>
      </c>
      <c r="J614">
        <v>0.95</v>
      </c>
      <c r="K614">
        <v>1212.5999999999999</v>
      </c>
      <c r="L614" t="s">
        <v>18</v>
      </c>
    </row>
    <row r="615" spans="1:12" x14ac:dyDescent="0.3">
      <c r="A615">
        <v>53</v>
      </c>
      <c r="B615" t="s">
        <v>142</v>
      </c>
      <c r="C615" t="s">
        <v>143</v>
      </c>
      <c r="D615" t="s">
        <v>42</v>
      </c>
      <c r="E615" t="s">
        <v>39</v>
      </c>
      <c r="F615" t="s">
        <v>16</v>
      </c>
      <c r="G615" s="1">
        <v>45689</v>
      </c>
      <c r="H615">
        <v>381</v>
      </c>
      <c r="I615">
        <v>7</v>
      </c>
      <c r="J615">
        <v>0.85</v>
      </c>
      <c r="K615">
        <v>1903.8</v>
      </c>
      <c r="L615" t="s">
        <v>18</v>
      </c>
    </row>
    <row r="616" spans="1:12" x14ac:dyDescent="0.3">
      <c r="A616">
        <v>53</v>
      </c>
      <c r="B616" t="s">
        <v>142</v>
      </c>
      <c r="C616" t="s">
        <v>143</v>
      </c>
      <c r="D616" t="s">
        <v>42</v>
      </c>
      <c r="E616" t="s">
        <v>39</v>
      </c>
      <c r="F616" t="s">
        <v>16</v>
      </c>
      <c r="G616" s="1">
        <v>45717</v>
      </c>
      <c r="H616">
        <v>284</v>
      </c>
      <c r="I616">
        <v>7</v>
      </c>
      <c r="J616">
        <v>0.91</v>
      </c>
      <c r="K616">
        <v>1438.2</v>
      </c>
      <c r="L616" t="s">
        <v>18</v>
      </c>
    </row>
    <row r="617" spans="1:12" x14ac:dyDescent="0.3">
      <c r="A617">
        <v>53</v>
      </c>
      <c r="B617" t="s">
        <v>142</v>
      </c>
      <c r="C617" t="s">
        <v>143</v>
      </c>
      <c r="D617" t="s">
        <v>42</v>
      </c>
      <c r="E617" t="s">
        <v>39</v>
      </c>
      <c r="F617" t="s">
        <v>16</v>
      </c>
      <c r="G617" s="1">
        <v>45748</v>
      </c>
      <c r="H617">
        <v>190</v>
      </c>
      <c r="I617">
        <v>9</v>
      </c>
      <c r="J617">
        <v>0.86</v>
      </c>
      <c r="K617">
        <v>987</v>
      </c>
      <c r="L617" t="s">
        <v>18</v>
      </c>
    </row>
    <row r="618" spans="1:12" x14ac:dyDescent="0.3">
      <c r="A618">
        <v>53</v>
      </c>
      <c r="B618" t="s">
        <v>142</v>
      </c>
      <c r="C618" t="s">
        <v>143</v>
      </c>
      <c r="D618" t="s">
        <v>42</v>
      </c>
      <c r="E618" t="s">
        <v>39</v>
      </c>
      <c r="F618" t="s">
        <v>16</v>
      </c>
      <c r="G618" s="1">
        <v>45778</v>
      </c>
      <c r="H618">
        <v>289</v>
      </c>
      <c r="I618">
        <v>9</v>
      </c>
      <c r="J618">
        <v>0.93</v>
      </c>
      <c r="K618">
        <v>1462.2</v>
      </c>
      <c r="L618" t="s">
        <v>18</v>
      </c>
    </row>
    <row r="619" spans="1:12" x14ac:dyDescent="0.3">
      <c r="A619">
        <v>53</v>
      </c>
      <c r="B619" t="s">
        <v>142</v>
      </c>
      <c r="C619" t="s">
        <v>143</v>
      </c>
      <c r="D619" t="s">
        <v>42</v>
      </c>
      <c r="E619" t="s">
        <v>39</v>
      </c>
      <c r="F619" t="s">
        <v>16</v>
      </c>
      <c r="G619" s="1">
        <v>45809</v>
      </c>
      <c r="H619">
        <v>267</v>
      </c>
      <c r="I619">
        <v>5</v>
      </c>
      <c r="J619">
        <v>0.96</v>
      </c>
      <c r="K619">
        <v>1356.6</v>
      </c>
      <c r="L619" t="s">
        <v>18</v>
      </c>
    </row>
    <row r="620" spans="1:12" x14ac:dyDescent="0.3">
      <c r="A620">
        <v>53</v>
      </c>
      <c r="B620" t="s">
        <v>142</v>
      </c>
      <c r="C620" t="s">
        <v>143</v>
      </c>
      <c r="D620" t="s">
        <v>42</v>
      </c>
      <c r="E620" t="s">
        <v>39</v>
      </c>
      <c r="F620" t="s">
        <v>16</v>
      </c>
      <c r="G620" s="1">
        <v>45839</v>
      </c>
      <c r="H620">
        <v>308</v>
      </c>
      <c r="I620">
        <v>9</v>
      </c>
      <c r="J620">
        <v>0.98</v>
      </c>
      <c r="K620">
        <v>1553.4</v>
      </c>
      <c r="L620" t="s">
        <v>18</v>
      </c>
    </row>
    <row r="621" spans="1:12" x14ac:dyDescent="0.3">
      <c r="A621">
        <v>53</v>
      </c>
      <c r="B621" t="s">
        <v>142</v>
      </c>
      <c r="C621" t="s">
        <v>143</v>
      </c>
      <c r="D621" t="s">
        <v>42</v>
      </c>
      <c r="E621" t="s">
        <v>39</v>
      </c>
      <c r="F621" t="s">
        <v>16</v>
      </c>
      <c r="G621" s="1">
        <v>45870</v>
      </c>
      <c r="H621">
        <v>170</v>
      </c>
      <c r="I621">
        <v>8</v>
      </c>
      <c r="J621">
        <v>0.95</v>
      </c>
      <c r="K621">
        <v>891</v>
      </c>
      <c r="L621" t="s">
        <v>18</v>
      </c>
    </row>
    <row r="622" spans="1:12" x14ac:dyDescent="0.3">
      <c r="A622">
        <v>53</v>
      </c>
      <c r="B622" t="s">
        <v>142</v>
      </c>
      <c r="C622" t="s">
        <v>143</v>
      </c>
      <c r="D622" t="s">
        <v>42</v>
      </c>
      <c r="E622" t="s">
        <v>39</v>
      </c>
      <c r="F622" t="s">
        <v>16</v>
      </c>
      <c r="G622" s="1">
        <v>45901</v>
      </c>
      <c r="H622">
        <v>239</v>
      </c>
      <c r="I622">
        <v>2</v>
      </c>
      <c r="J622">
        <v>0.89</v>
      </c>
      <c r="K622">
        <v>1222.2</v>
      </c>
      <c r="L622" t="s">
        <v>18</v>
      </c>
    </row>
    <row r="623" spans="1:12" x14ac:dyDescent="0.3">
      <c r="A623">
        <v>53</v>
      </c>
      <c r="B623" t="s">
        <v>142</v>
      </c>
      <c r="C623" t="s">
        <v>143</v>
      </c>
      <c r="D623" t="s">
        <v>42</v>
      </c>
      <c r="E623" t="s">
        <v>39</v>
      </c>
      <c r="F623" t="s">
        <v>16</v>
      </c>
      <c r="G623" s="1">
        <v>45931</v>
      </c>
      <c r="H623">
        <v>399</v>
      </c>
      <c r="I623">
        <v>8</v>
      </c>
      <c r="J623">
        <v>0.97</v>
      </c>
      <c r="K623">
        <v>1990.2</v>
      </c>
      <c r="L623" t="s">
        <v>18</v>
      </c>
    </row>
    <row r="624" spans="1:12" x14ac:dyDescent="0.3">
      <c r="A624">
        <v>53</v>
      </c>
      <c r="B624" t="s">
        <v>142</v>
      </c>
      <c r="C624" t="s">
        <v>143</v>
      </c>
      <c r="D624" t="s">
        <v>42</v>
      </c>
      <c r="E624" t="s">
        <v>39</v>
      </c>
      <c r="F624" t="s">
        <v>16</v>
      </c>
      <c r="G624" s="1">
        <v>45962</v>
      </c>
      <c r="H624">
        <v>310</v>
      </c>
      <c r="I624">
        <v>7</v>
      </c>
      <c r="J624">
        <v>0.85</v>
      </c>
      <c r="K624">
        <v>1563</v>
      </c>
      <c r="L624" t="s">
        <v>17</v>
      </c>
    </row>
    <row r="625" spans="1:12" x14ac:dyDescent="0.3">
      <c r="A625">
        <v>53</v>
      </c>
      <c r="B625" t="s">
        <v>142</v>
      </c>
      <c r="C625" t="s">
        <v>143</v>
      </c>
      <c r="D625" t="s">
        <v>42</v>
      </c>
      <c r="E625" t="s">
        <v>39</v>
      </c>
      <c r="F625" t="s">
        <v>16</v>
      </c>
      <c r="G625" s="1">
        <v>45992</v>
      </c>
      <c r="H625">
        <v>157</v>
      </c>
      <c r="I625">
        <v>2</v>
      </c>
      <c r="J625">
        <v>0.99</v>
      </c>
      <c r="K625">
        <v>828.6</v>
      </c>
      <c r="L625" t="s">
        <v>18</v>
      </c>
    </row>
    <row r="626" spans="1:12" x14ac:dyDescent="0.3">
      <c r="A626">
        <v>54</v>
      </c>
      <c r="B626" t="s">
        <v>144</v>
      </c>
      <c r="C626" t="s">
        <v>145</v>
      </c>
      <c r="D626" t="s">
        <v>14</v>
      </c>
      <c r="E626" t="s">
        <v>25</v>
      </c>
      <c r="F626" t="s">
        <v>26</v>
      </c>
      <c r="G626" s="1">
        <v>45658</v>
      </c>
      <c r="H626">
        <v>347</v>
      </c>
      <c r="I626">
        <v>8</v>
      </c>
      <c r="J626">
        <v>0.93</v>
      </c>
      <c r="K626">
        <v>2355.5</v>
      </c>
      <c r="L626" t="s">
        <v>18</v>
      </c>
    </row>
    <row r="627" spans="1:12" x14ac:dyDescent="0.3">
      <c r="A627">
        <v>54</v>
      </c>
      <c r="B627" t="s">
        <v>144</v>
      </c>
      <c r="C627" t="s">
        <v>145</v>
      </c>
      <c r="D627" t="s">
        <v>14</v>
      </c>
      <c r="E627" t="s">
        <v>25</v>
      </c>
      <c r="F627" t="s">
        <v>26</v>
      </c>
      <c r="G627" s="1">
        <v>45689</v>
      </c>
      <c r="H627">
        <v>200</v>
      </c>
      <c r="I627">
        <v>5</v>
      </c>
      <c r="J627">
        <v>0.98</v>
      </c>
      <c r="K627">
        <v>1400</v>
      </c>
      <c r="L627" t="s">
        <v>18</v>
      </c>
    </row>
    <row r="628" spans="1:12" x14ac:dyDescent="0.3">
      <c r="A628">
        <v>54</v>
      </c>
      <c r="B628" t="s">
        <v>144</v>
      </c>
      <c r="C628" t="s">
        <v>145</v>
      </c>
      <c r="D628" t="s">
        <v>14</v>
      </c>
      <c r="E628" t="s">
        <v>25</v>
      </c>
      <c r="F628" t="s">
        <v>26</v>
      </c>
      <c r="G628" s="1">
        <v>45717</v>
      </c>
      <c r="H628">
        <v>228</v>
      </c>
      <c r="I628">
        <v>9</v>
      </c>
      <c r="J628">
        <v>0.92</v>
      </c>
      <c r="K628">
        <v>1582</v>
      </c>
      <c r="L628" t="s">
        <v>17</v>
      </c>
    </row>
    <row r="629" spans="1:12" x14ac:dyDescent="0.3">
      <c r="A629">
        <v>54</v>
      </c>
      <c r="B629" t="s">
        <v>144</v>
      </c>
      <c r="C629" t="s">
        <v>145</v>
      </c>
      <c r="D629" t="s">
        <v>14</v>
      </c>
      <c r="E629" t="s">
        <v>25</v>
      </c>
      <c r="F629" t="s">
        <v>26</v>
      </c>
      <c r="G629" s="1">
        <v>45748</v>
      </c>
      <c r="H629">
        <v>351</v>
      </c>
      <c r="I629">
        <v>3</v>
      </c>
      <c r="J629">
        <v>0.88</v>
      </c>
      <c r="K629">
        <v>2381.5</v>
      </c>
      <c r="L629" t="s">
        <v>18</v>
      </c>
    </row>
    <row r="630" spans="1:12" x14ac:dyDescent="0.3">
      <c r="A630">
        <v>54</v>
      </c>
      <c r="B630" t="s">
        <v>144</v>
      </c>
      <c r="C630" t="s">
        <v>145</v>
      </c>
      <c r="D630" t="s">
        <v>14</v>
      </c>
      <c r="E630" t="s">
        <v>25</v>
      </c>
      <c r="F630" t="s">
        <v>26</v>
      </c>
      <c r="G630" s="1">
        <v>45778</v>
      </c>
      <c r="H630">
        <v>320</v>
      </c>
      <c r="I630">
        <v>4</v>
      </c>
      <c r="J630">
        <v>0.99</v>
      </c>
      <c r="K630">
        <v>2180</v>
      </c>
      <c r="L630" t="s">
        <v>18</v>
      </c>
    </row>
    <row r="631" spans="1:12" x14ac:dyDescent="0.3">
      <c r="A631">
        <v>54</v>
      </c>
      <c r="B631" t="s">
        <v>144</v>
      </c>
      <c r="C631" t="s">
        <v>145</v>
      </c>
      <c r="D631" t="s">
        <v>14</v>
      </c>
      <c r="E631" t="s">
        <v>25</v>
      </c>
      <c r="F631" t="s">
        <v>26</v>
      </c>
      <c r="G631" s="1">
        <v>45809</v>
      </c>
      <c r="H631">
        <v>214</v>
      </c>
      <c r="I631">
        <v>7</v>
      </c>
      <c r="J631">
        <v>0.96</v>
      </c>
      <c r="K631">
        <v>1491</v>
      </c>
      <c r="L631" t="s">
        <v>18</v>
      </c>
    </row>
    <row r="632" spans="1:12" x14ac:dyDescent="0.3">
      <c r="A632">
        <v>54</v>
      </c>
      <c r="B632" t="s">
        <v>144</v>
      </c>
      <c r="C632" t="s">
        <v>145</v>
      </c>
      <c r="D632" t="s">
        <v>14</v>
      </c>
      <c r="E632" t="s">
        <v>25</v>
      </c>
      <c r="F632" t="s">
        <v>26</v>
      </c>
      <c r="G632" s="1">
        <v>45839</v>
      </c>
      <c r="H632">
        <v>288</v>
      </c>
      <c r="I632">
        <v>5</v>
      </c>
      <c r="J632">
        <v>0.99</v>
      </c>
      <c r="K632">
        <v>1972</v>
      </c>
      <c r="L632" t="s">
        <v>18</v>
      </c>
    </row>
    <row r="633" spans="1:12" x14ac:dyDescent="0.3">
      <c r="A633">
        <v>54</v>
      </c>
      <c r="B633" t="s">
        <v>144</v>
      </c>
      <c r="C633" t="s">
        <v>145</v>
      </c>
      <c r="D633" t="s">
        <v>14</v>
      </c>
      <c r="E633" t="s">
        <v>25</v>
      </c>
      <c r="F633" t="s">
        <v>26</v>
      </c>
      <c r="G633" s="1">
        <v>45870</v>
      </c>
      <c r="H633">
        <v>341</v>
      </c>
      <c r="I633">
        <v>8</v>
      </c>
      <c r="J633">
        <v>0.99</v>
      </c>
      <c r="K633">
        <v>2316.5</v>
      </c>
      <c r="L633" t="s">
        <v>18</v>
      </c>
    </row>
    <row r="634" spans="1:12" x14ac:dyDescent="0.3">
      <c r="A634">
        <v>54</v>
      </c>
      <c r="B634" t="s">
        <v>144</v>
      </c>
      <c r="C634" t="s">
        <v>145</v>
      </c>
      <c r="D634" t="s">
        <v>14</v>
      </c>
      <c r="E634" t="s">
        <v>25</v>
      </c>
      <c r="F634" t="s">
        <v>26</v>
      </c>
      <c r="G634" s="1">
        <v>45901</v>
      </c>
      <c r="H634">
        <v>315</v>
      </c>
      <c r="I634">
        <v>8</v>
      </c>
      <c r="J634">
        <v>0.96</v>
      </c>
      <c r="K634">
        <v>2147.5</v>
      </c>
      <c r="L634" t="s">
        <v>18</v>
      </c>
    </row>
    <row r="635" spans="1:12" x14ac:dyDescent="0.3">
      <c r="A635">
        <v>54</v>
      </c>
      <c r="B635" t="s">
        <v>144</v>
      </c>
      <c r="C635" t="s">
        <v>145</v>
      </c>
      <c r="D635" t="s">
        <v>14</v>
      </c>
      <c r="E635" t="s">
        <v>25</v>
      </c>
      <c r="F635" t="s">
        <v>26</v>
      </c>
      <c r="G635" s="1">
        <v>45931</v>
      </c>
      <c r="H635">
        <v>378</v>
      </c>
      <c r="I635">
        <v>2</v>
      </c>
      <c r="J635">
        <v>0.93</v>
      </c>
      <c r="K635">
        <v>2557</v>
      </c>
      <c r="L635" t="s">
        <v>18</v>
      </c>
    </row>
    <row r="636" spans="1:12" x14ac:dyDescent="0.3">
      <c r="A636">
        <v>54</v>
      </c>
      <c r="B636" t="s">
        <v>144</v>
      </c>
      <c r="C636" t="s">
        <v>145</v>
      </c>
      <c r="D636" t="s">
        <v>14</v>
      </c>
      <c r="E636" t="s">
        <v>25</v>
      </c>
      <c r="F636" t="s">
        <v>26</v>
      </c>
      <c r="G636" s="1">
        <v>45962</v>
      </c>
      <c r="H636">
        <v>236</v>
      </c>
      <c r="I636">
        <v>5</v>
      </c>
      <c r="J636">
        <v>0.95</v>
      </c>
      <c r="K636">
        <v>1634</v>
      </c>
      <c r="L636" t="s">
        <v>18</v>
      </c>
    </row>
    <row r="637" spans="1:12" x14ac:dyDescent="0.3">
      <c r="A637">
        <v>54</v>
      </c>
      <c r="B637" t="s">
        <v>144</v>
      </c>
      <c r="C637" t="s">
        <v>145</v>
      </c>
      <c r="D637" t="s">
        <v>14</v>
      </c>
      <c r="E637" t="s">
        <v>25</v>
      </c>
      <c r="F637" t="s">
        <v>26</v>
      </c>
      <c r="G637" s="1">
        <v>45992</v>
      </c>
      <c r="H637">
        <v>178</v>
      </c>
      <c r="I637">
        <v>6</v>
      </c>
      <c r="J637">
        <v>0.98</v>
      </c>
      <c r="K637">
        <v>1257</v>
      </c>
      <c r="L637" t="s">
        <v>18</v>
      </c>
    </row>
    <row r="638" spans="1:12" x14ac:dyDescent="0.3">
      <c r="A638">
        <v>55</v>
      </c>
      <c r="B638" t="s">
        <v>146</v>
      </c>
      <c r="C638" t="s">
        <v>147</v>
      </c>
      <c r="D638" t="s">
        <v>24</v>
      </c>
      <c r="E638" t="s">
        <v>29</v>
      </c>
      <c r="F638" t="s">
        <v>26</v>
      </c>
      <c r="G638" s="1">
        <v>45658</v>
      </c>
      <c r="H638">
        <v>221</v>
      </c>
      <c r="I638">
        <v>10</v>
      </c>
      <c r="J638">
        <v>0.96</v>
      </c>
      <c r="K638">
        <v>2062.1999999999998</v>
      </c>
      <c r="L638" t="s">
        <v>18</v>
      </c>
    </row>
    <row r="639" spans="1:12" x14ac:dyDescent="0.3">
      <c r="A639">
        <v>55</v>
      </c>
      <c r="B639" t="s">
        <v>146</v>
      </c>
      <c r="C639" t="s">
        <v>147</v>
      </c>
      <c r="D639" t="s">
        <v>24</v>
      </c>
      <c r="E639" t="s">
        <v>29</v>
      </c>
      <c r="F639" t="s">
        <v>26</v>
      </c>
      <c r="G639" s="1">
        <v>45689</v>
      </c>
      <c r="H639">
        <v>320</v>
      </c>
      <c r="I639">
        <v>10</v>
      </c>
      <c r="J639">
        <v>0.94</v>
      </c>
      <c r="K639">
        <v>2874</v>
      </c>
      <c r="L639" t="s">
        <v>17</v>
      </c>
    </row>
    <row r="640" spans="1:12" x14ac:dyDescent="0.3">
      <c r="A640">
        <v>55</v>
      </c>
      <c r="B640" t="s">
        <v>146</v>
      </c>
      <c r="C640" t="s">
        <v>147</v>
      </c>
      <c r="D640" t="s">
        <v>24</v>
      </c>
      <c r="E640" t="s">
        <v>29</v>
      </c>
      <c r="F640" t="s">
        <v>26</v>
      </c>
      <c r="G640" s="1">
        <v>45717</v>
      </c>
      <c r="H640">
        <v>284</v>
      </c>
      <c r="I640">
        <v>2</v>
      </c>
      <c r="J640">
        <v>0.91</v>
      </c>
      <c r="K640">
        <v>2578.8000000000002</v>
      </c>
      <c r="L640" t="s">
        <v>18</v>
      </c>
    </row>
    <row r="641" spans="1:12" x14ac:dyDescent="0.3">
      <c r="A641">
        <v>55</v>
      </c>
      <c r="B641" t="s">
        <v>146</v>
      </c>
      <c r="C641" t="s">
        <v>147</v>
      </c>
      <c r="D641" t="s">
        <v>24</v>
      </c>
      <c r="E641" t="s">
        <v>29</v>
      </c>
      <c r="F641" t="s">
        <v>26</v>
      </c>
      <c r="G641" s="1">
        <v>45748</v>
      </c>
      <c r="H641">
        <v>227</v>
      </c>
      <c r="I641">
        <v>2</v>
      </c>
      <c r="J641">
        <v>0.98</v>
      </c>
      <c r="K641">
        <v>2111.4</v>
      </c>
      <c r="L641" t="s">
        <v>18</v>
      </c>
    </row>
    <row r="642" spans="1:12" x14ac:dyDescent="0.3">
      <c r="A642">
        <v>55</v>
      </c>
      <c r="B642" t="s">
        <v>146</v>
      </c>
      <c r="C642" t="s">
        <v>147</v>
      </c>
      <c r="D642" t="s">
        <v>24</v>
      </c>
      <c r="E642" t="s">
        <v>29</v>
      </c>
      <c r="F642" t="s">
        <v>26</v>
      </c>
      <c r="G642" s="1">
        <v>45778</v>
      </c>
      <c r="H642">
        <v>181</v>
      </c>
      <c r="I642">
        <v>4</v>
      </c>
      <c r="J642">
        <v>0.94</v>
      </c>
      <c r="K642">
        <v>1734.2</v>
      </c>
      <c r="L642" t="s">
        <v>18</v>
      </c>
    </row>
    <row r="643" spans="1:12" x14ac:dyDescent="0.3">
      <c r="A643">
        <v>55</v>
      </c>
      <c r="B643" t="s">
        <v>146</v>
      </c>
      <c r="C643" t="s">
        <v>147</v>
      </c>
      <c r="D643" t="s">
        <v>24</v>
      </c>
      <c r="E643" t="s">
        <v>29</v>
      </c>
      <c r="F643" t="s">
        <v>26</v>
      </c>
      <c r="G643" s="1">
        <v>45809</v>
      </c>
      <c r="H643">
        <v>266</v>
      </c>
      <c r="I643">
        <v>10</v>
      </c>
      <c r="J643">
        <v>0.92</v>
      </c>
      <c r="K643">
        <v>2431.1999999999998</v>
      </c>
      <c r="L643" t="s">
        <v>18</v>
      </c>
    </row>
    <row r="644" spans="1:12" x14ac:dyDescent="0.3">
      <c r="A644">
        <v>55</v>
      </c>
      <c r="B644" t="s">
        <v>146</v>
      </c>
      <c r="C644" t="s">
        <v>147</v>
      </c>
      <c r="D644" t="s">
        <v>24</v>
      </c>
      <c r="E644" t="s">
        <v>29</v>
      </c>
      <c r="F644" t="s">
        <v>26</v>
      </c>
      <c r="G644" s="1">
        <v>45839</v>
      </c>
      <c r="H644">
        <v>391</v>
      </c>
      <c r="I644">
        <v>6</v>
      </c>
      <c r="J644">
        <v>0.89</v>
      </c>
      <c r="K644">
        <v>3456.2</v>
      </c>
      <c r="L644" t="s">
        <v>18</v>
      </c>
    </row>
    <row r="645" spans="1:12" x14ac:dyDescent="0.3">
      <c r="A645">
        <v>55</v>
      </c>
      <c r="B645" t="s">
        <v>146</v>
      </c>
      <c r="C645" t="s">
        <v>147</v>
      </c>
      <c r="D645" t="s">
        <v>24</v>
      </c>
      <c r="E645" t="s">
        <v>29</v>
      </c>
      <c r="F645" t="s">
        <v>26</v>
      </c>
      <c r="G645" s="1">
        <v>45870</v>
      </c>
      <c r="H645">
        <v>201</v>
      </c>
      <c r="I645">
        <v>3</v>
      </c>
      <c r="J645">
        <v>0.87</v>
      </c>
      <c r="K645">
        <v>1898.2</v>
      </c>
      <c r="L645" t="s">
        <v>18</v>
      </c>
    </row>
    <row r="646" spans="1:12" x14ac:dyDescent="0.3">
      <c r="A646">
        <v>55</v>
      </c>
      <c r="B646" t="s">
        <v>146</v>
      </c>
      <c r="C646" t="s">
        <v>147</v>
      </c>
      <c r="D646" t="s">
        <v>24</v>
      </c>
      <c r="E646" t="s">
        <v>29</v>
      </c>
      <c r="F646" t="s">
        <v>26</v>
      </c>
      <c r="G646" s="1">
        <v>45901</v>
      </c>
      <c r="H646">
        <v>174</v>
      </c>
      <c r="I646">
        <v>9</v>
      </c>
      <c r="J646">
        <v>0.88</v>
      </c>
      <c r="K646">
        <v>1676.8</v>
      </c>
      <c r="L646" t="s">
        <v>18</v>
      </c>
    </row>
    <row r="647" spans="1:12" x14ac:dyDescent="0.3">
      <c r="A647">
        <v>55</v>
      </c>
      <c r="B647" t="s">
        <v>146</v>
      </c>
      <c r="C647" t="s">
        <v>147</v>
      </c>
      <c r="D647" t="s">
        <v>24</v>
      </c>
      <c r="E647" t="s">
        <v>29</v>
      </c>
      <c r="F647" t="s">
        <v>26</v>
      </c>
      <c r="G647" s="1">
        <v>45931</v>
      </c>
      <c r="H647">
        <v>336</v>
      </c>
      <c r="I647">
        <v>10</v>
      </c>
      <c r="J647">
        <v>0.93</v>
      </c>
      <c r="K647">
        <v>3005.2</v>
      </c>
      <c r="L647" t="s">
        <v>18</v>
      </c>
    </row>
    <row r="648" spans="1:12" x14ac:dyDescent="0.3">
      <c r="A648">
        <v>55</v>
      </c>
      <c r="B648" t="s">
        <v>146</v>
      </c>
      <c r="C648" t="s">
        <v>147</v>
      </c>
      <c r="D648" t="s">
        <v>24</v>
      </c>
      <c r="E648" t="s">
        <v>29</v>
      </c>
      <c r="F648" t="s">
        <v>26</v>
      </c>
      <c r="G648" s="1">
        <v>45962</v>
      </c>
      <c r="H648">
        <v>259</v>
      </c>
      <c r="I648">
        <v>6</v>
      </c>
      <c r="J648">
        <v>0.96</v>
      </c>
      <c r="K648">
        <v>2373.8000000000002</v>
      </c>
      <c r="L648" t="s">
        <v>18</v>
      </c>
    </row>
    <row r="649" spans="1:12" x14ac:dyDescent="0.3">
      <c r="A649">
        <v>55</v>
      </c>
      <c r="B649" t="s">
        <v>146</v>
      </c>
      <c r="C649" t="s">
        <v>147</v>
      </c>
      <c r="D649" t="s">
        <v>24</v>
      </c>
      <c r="E649" t="s">
        <v>29</v>
      </c>
      <c r="F649" t="s">
        <v>26</v>
      </c>
      <c r="G649" s="1">
        <v>45992</v>
      </c>
      <c r="H649">
        <v>390</v>
      </c>
      <c r="I649">
        <v>5</v>
      </c>
      <c r="J649">
        <v>0.86</v>
      </c>
      <c r="K649">
        <v>3448</v>
      </c>
      <c r="L649" t="s">
        <v>18</v>
      </c>
    </row>
    <row r="650" spans="1:12" x14ac:dyDescent="0.3">
      <c r="A650">
        <v>56</v>
      </c>
      <c r="B650" t="s">
        <v>148</v>
      </c>
      <c r="C650" t="s">
        <v>149</v>
      </c>
      <c r="D650" t="s">
        <v>32</v>
      </c>
      <c r="E650" t="s">
        <v>47</v>
      </c>
      <c r="F650" t="s">
        <v>26</v>
      </c>
      <c r="G650" s="1">
        <v>45658</v>
      </c>
      <c r="H650">
        <v>249</v>
      </c>
      <c r="I650">
        <v>7</v>
      </c>
      <c r="J650">
        <v>0.92</v>
      </c>
      <c r="K650">
        <v>3114.5</v>
      </c>
      <c r="L650" t="s">
        <v>17</v>
      </c>
    </row>
    <row r="651" spans="1:12" x14ac:dyDescent="0.3">
      <c r="A651">
        <v>56</v>
      </c>
      <c r="B651" t="s">
        <v>148</v>
      </c>
      <c r="C651" t="s">
        <v>149</v>
      </c>
      <c r="D651" t="s">
        <v>32</v>
      </c>
      <c r="E651" t="s">
        <v>47</v>
      </c>
      <c r="F651" t="s">
        <v>26</v>
      </c>
      <c r="G651" s="1">
        <v>45689</v>
      </c>
      <c r="H651">
        <v>183</v>
      </c>
      <c r="I651">
        <v>10</v>
      </c>
      <c r="J651">
        <v>0.88</v>
      </c>
      <c r="K651">
        <v>2421.5</v>
      </c>
      <c r="L651" t="s">
        <v>18</v>
      </c>
    </row>
    <row r="652" spans="1:12" x14ac:dyDescent="0.3">
      <c r="A652">
        <v>56</v>
      </c>
      <c r="B652" t="s">
        <v>148</v>
      </c>
      <c r="C652" t="s">
        <v>149</v>
      </c>
      <c r="D652" t="s">
        <v>32</v>
      </c>
      <c r="E652" t="s">
        <v>47</v>
      </c>
      <c r="F652" t="s">
        <v>26</v>
      </c>
      <c r="G652" s="1">
        <v>45717</v>
      </c>
      <c r="H652">
        <v>336</v>
      </c>
      <c r="I652">
        <v>6</v>
      </c>
      <c r="J652">
        <v>0.86</v>
      </c>
      <c r="K652">
        <v>4028</v>
      </c>
      <c r="L652" t="s">
        <v>18</v>
      </c>
    </row>
    <row r="653" spans="1:12" x14ac:dyDescent="0.3">
      <c r="A653">
        <v>56</v>
      </c>
      <c r="B653" t="s">
        <v>148</v>
      </c>
      <c r="C653" t="s">
        <v>149</v>
      </c>
      <c r="D653" t="s">
        <v>32</v>
      </c>
      <c r="E653" t="s">
        <v>47</v>
      </c>
      <c r="F653" t="s">
        <v>26</v>
      </c>
      <c r="G653" s="1">
        <v>45748</v>
      </c>
      <c r="H653">
        <v>341</v>
      </c>
      <c r="I653">
        <v>4</v>
      </c>
      <c r="J653">
        <v>0.86</v>
      </c>
      <c r="K653">
        <v>4080.5</v>
      </c>
      <c r="L653" t="s">
        <v>17</v>
      </c>
    </row>
    <row r="654" spans="1:12" x14ac:dyDescent="0.3">
      <c r="A654">
        <v>56</v>
      </c>
      <c r="B654" t="s">
        <v>148</v>
      </c>
      <c r="C654" t="s">
        <v>149</v>
      </c>
      <c r="D654" t="s">
        <v>32</v>
      </c>
      <c r="E654" t="s">
        <v>47</v>
      </c>
      <c r="F654" t="s">
        <v>26</v>
      </c>
      <c r="G654" s="1">
        <v>45778</v>
      </c>
      <c r="H654">
        <v>341</v>
      </c>
      <c r="I654">
        <v>6</v>
      </c>
      <c r="J654">
        <v>0.95</v>
      </c>
      <c r="K654">
        <v>4080.5</v>
      </c>
      <c r="L654" t="s">
        <v>18</v>
      </c>
    </row>
    <row r="655" spans="1:12" x14ac:dyDescent="0.3">
      <c r="A655">
        <v>56</v>
      </c>
      <c r="B655" t="s">
        <v>148</v>
      </c>
      <c r="C655" t="s">
        <v>149</v>
      </c>
      <c r="D655" t="s">
        <v>32</v>
      </c>
      <c r="E655" t="s">
        <v>47</v>
      </c>
      <c r="F655" t="s">
        <v>26</v>
      </c>
      <c r="G655" s="1">
        <v>45809</v>
      </c>
      <c r="H655">
        <v>162</v>
      </c>
      <c r="I655">
        <v>3</v>
      </c>
      <c r="J655">
        <v>0.94</v>
      </c>
      <c r="K655">
        <v>2201</v>
      </c>
      <c r="L655" t="s">
        <v>17</v>
      </c>
    </row>
    <row r="656" spans="1:12" x14ac:dyDescent="0.3">
      <c r="A656">
        <v>56</v>
      </c>
      <c r="B656" t="s">
        <v>148</v>
      </c>
      <c r="C656" t="s">
        <v>149</v>
      </c>
      <c r="D656" t="s">
        <v>32</v>
      </c>
      <c r="E656" t="s">
        <v>47</v>
      </c>
      <c r="F656" t="s">
        <v>26</v>
      </c>
      <c r="G656" s="1">
        <v>45839</v>
      </c>
      <c r="H656">
        <v>182</v>
      </c>
      <c r="I656">
        <v>8</v>
      </c>
      <c r="J656">
        <v>0.98</v>
      </c>
      <c r="K656">
        <v>2411</v>
      </c>
      <c r="L656" t="s">
        <v>18</v>
      </c>
    </row>
    <row r="657" spans="1:12" x14ac:dyDescent="0.3">
      <c r="A657">
        <v>56</v>
      </c>
      <c r="B657" t="s">
        <v>148</v>
      </c>
      <c r="C657" t="s">
        <v>149</v>
      </c>
      <c r="D657" t="s">
        <v>32</v>
      </c>
      <c r="E657" t="s">
        <v>47</v>
      </c>
      <c r="F657" t="s">
        <v>26</v>
      </c>
      <c r="G657" s="1">
        <v>45870</v>
      </c>
      <c r="H657">
        <v>157</v>
      </c>
      <c r="I657">
        <v>8</v>
      </c>
      <c r="J657">
        <v>0.92</v>
      </c>
      <c r="K657">
        <v>2148.5</v>
      </c>
      <c r="L657" t="s">
        <v>18</v>
      </c>
    </row>
    <row r="658" spans="1:12" x14ac:dyDescent="0.3">
      <c r="A658">
        <v>56</v>
      </c>
      <c r="B658" t="s">
        <v>148</v>
      </c>
      <c r="C658" t="s">
        <v>149</v>
      </c>
      <c r="D658" t="s">
        <v>32</v>
      </c>
      <c r="E658" t="s">
        <v>47</v>
      </c>
      <c r="F658" t="s">
        <v>26</v>
      </c>
      <c r="G658" s="1">
        <v>45901</v>
      </c>
      <c r="H658">
        <v>329</v>
      </c>
      <c r="I658">
        <v>7</v>
      </c>
      <c r="J658">
        <v>0.88</v>
      </c>
      <c r="K658">
        <v>3954.5</v>
      </c>
      <c r="L658" t="s">
        <v>18</v>
      </c>
    </row>
    <row r="659" spans="1:12" x14ac:dyDescent="0.3">
      <c r="A659">
        <v>56</v>
      </c>
      <c r="B659" t="s">
        <v>148</v>
      </c>
      <c r="C659" t="s">
        <v>149</v>
      </c>
      <c r="D659" t="s">
        <v>32</v>
      </c>
      <c r="E659" t="s">
        <v>47</v>
      </c>
      <c r="F659" t="s">
        <v>26</v>
      </c>
      <c r="G659" s="1">
        <v>45931</v>
      </c>
      <c r="H659">
        <v>341</v>
      </c>
      <c r="I659">
        <v>10</v>
      </c>
      <c r="J659">
        <v>0.95</v>
      </c>
      <c r="K659">
        <v>4080.5</v>
      </c>
      <c r="L659" t="s">
        <v>18</v>
      </c>
    </row>
    <row r="660" spans="1:12" x14ac:dyDescent="0.3">
      <c r="A660">
        <v>56</v>
      </c>
      <c r="B660" t="s">
        <v>148</v>
      </c>
      <c r="C660" t="s">
        <v>149</v>
      </c>
      <c r="D660" t="s">
        <v>32</v>
      </c>
      <c r="E660" t="s">
        <v>47</v>
      </c>
      <c r="F660" t="s">
        <v>26</v>
      </c>
      <c r="G660" s="1">
        <v>45962</v>
      </c>
      <c r="H660">
        <v>294</v>
      </c>
      <c r="I660">
        <v>6</v>
      </c>
      <c r="J660">
        <v>0.94</v>
      </c>
      <c r="K660">
        <v>3587</v>
      </c>
      <c r="L660" t="s">
        <v>17</v>
      </c>
    </row>
    <row r="661" spans="1:12" x14ac:dyDescent="0.3">
      <c r="A661">
        <v>56</v>
      </c>
      <c r="B661" t="s">
        <v>148</v>
      </c>
      <c r="C661" t="s">
        <v>149</v>
      </c>
      <c r="D661" t="s">
        <v>32</v>
      </c>
      <c r="E661" t="s">
        <v>47</v>
      </c>
      <c r="F661" t="s">
        <v>26</v>
      </c>
      <c r="G661" s="1">
        <v>45992</v>
      </c>
      <c r="H661">
        <v>254</v>
      </c>
      <c r="I661">
        <v>9</v>
      </c>
      <c r="J661">
        <v>0.91</v>
      </c>
      <c r="K661">
        <v>3167</v>
      </c>
      <c r="L661" t="s">
        <v>18</v>
      </c>
    </row>
    <row r="662" spans="1:12" x14ac:dyDescent="0.3">
      <c r="A662">
        <v>57</v>
      </c>
      <c r="B662" t="s">
        <v>150</v>
      </c>
      <c r="C662" t="s">
        <v>151</v>
      </c>
      <c r="D662" t="s">
        <v>42</v>
      </c>
      <c r="E662" t="s">
        <v>50</v>
      </c>
      <c r="F662" t="s">
        <v>51</v>
      </c>
      <c r="G662" s="1">
        <v>45658</v>
      </c>
      <c r="H662">
        <v>150</v>
      </c>
      <c r="I662">
        <v>5</v>
      </c>
      <c r="J662">
        <v>0.9</v>
      </c>
      <c r="K662">
        <v>795</v>
      </c>
      <c r="L662" t="s">
        <v>17</v>
      </c>
    </row>
    <row r="663" spans="1:12" x14ac:dyDescent="0.3">
      <c r="A663">
        <v>57</v>
      </c>
      <c r="B663" t="s">
        <v>150</v>
      </c>
      <c r="C663" t="s">
        <v>151</v>
      </c>
      <c r="D663" t="s">
        <v>42</v>
      </c>
      <c r="E663" t="s">
        <v>50</v>
      </c>
      <c r="F663" t="s">
        <v>51</v>
      </c>
      <c r="G663" s="1">
        <v>45689</v>
      </c>
      <c r="H663">
        <v>396</v>
      </c>
      <c r="I663">
        <v>4</v>
      </c>
      <c r="J663">
        <v>0.95</v>
      </c>
      <c r="K663">
        <v>1975.8</v>
      </c>
      <c r="L663" t="s">
        <v>18</v>
      </c>
    </row>
    <row r="664" spans="1:12" x14ac:dyDescent="0.3">
      <c r="A664">
        <v>57</v>
      </c>
      <c r="B664" t="s">
        <v>150</v>
      </c>
      <c r="C664" t="s">
        <v>151</v>
      </c>
      <c r="D664" t="s">
        <v>42</v>
      </c>
      <c r="E664" t="s">
        <v>50</v>
      </c>
      <c r="F664" t="s">
        <v>51</v>
      </c>
      <c r="G664" s="1">
        <v>45717</v>
      </c>
      <c r="H664">
        <v>230</v>
      </c>
      <c r="I664">
        <v>2</v>
      </c>
      <c r="J664">
        <v>0.92</v>
      </c>
      <c r="K664">
        <v>1179</v>
      </c>
      <c r="L664" t="s">
        <v>17</v>
      </c>
    </row>
    <row r="665" spans="1:12" x14ac:dyDescent="0.3">
      <c r="A665">
        <v>57</v>
      </c>
      <c r="B665" t="s">
        <v>150</v>
      </c>
      <c r="C665" t="s">
        <v>151</v>
      </c>
      <c r="D665" t="s">
        <v>42</v>
      </c>
      <c r="E665" t="s">
        <v>50</v>
      </c>
      <c r="F665" t="s">
        <v>51</v>
      </c>
      <c r="G665" s="1">
        <v>45748</v>
      </c>
      <c r="H665">
        <v>220</v>
      </c>
      <c r="I665">
        <v>2</v>
      </c>
      <c r="J665">
        <v>0.86</v>
      </c>
      <c r="K665">
        <v>1131</v>
      </c>
      <c r="L665" t="s">
        <v>18</v>
      </c>
    </row>
    <row r="666" spans="1:12" x14ac:dyDescent="0.3">
      <c r="A666">
        <v>57</v>
      </c>
      <c r="B666" t="s">
        <v>150</v>
      </c>
      <c r="C666" t="s">
        <v>151</v>
      </c>
      <c r="D666" t="s">
        <v>42</v>
      </c>
      <c r="E666" t="s">
        <v>50</v>
      </c>
      <c r="F666" t="s">
        <v>51</v>
      </c>
      <c r="G666" s="1">
        <v>45778</v>
      </c>
      <c r="H666">
        <v>347</v>
      </c>
      <c r="I666">
        <v>10</v>
      </c>
      <c r="J666">
        <v>0.98</v>
      </c>
      <c r="K666">
        <v>1740.6</v>
      </c>
      <c r="L666" t="s">
        <v>18</v>
      </c>
    </row>
    <row r="667" spans="1:12" x14ac:dyDescent="0.3">
      <c r="A667">
        <v>57</v>
      </c>
      <c r="B667" t="s">
        <v>150</v>
      </c>
      <c r="C667" t="s">
        <v>151</v>
      </c>
      <c r="D667" t="s">
        <v>42</v>
      </c>
      <c r="E667" t="s">
        <v>50</v>
      </c>
      <c r="F667" t="s">
        <v>51</v>
      </c>
      <c r="G667" s="1">
        <v>45809</v>
      </c>
      <c r="H667">
        <v>351</v>
      </c>
      <c r="I667">
        <v>8</v>
      </c>
      <c r="J667">
        <v>0.97</v>
      </c>
      <c r="K667">
        <v>1759.8</v>
      </c>
      <c r="L667" t="s">
        <v>18</v>
      </c>
    </row>
    <row r="668" spans="1:12" x14ac:dyDescent="0.3">
      <c r="A668">
        <v>57</v>
      </c>
      <c r="B668" t="s">
        <v>150</v>
      </c>
      <c r="C668" t="s">
        <v>151</v>
      </c>
      <c r="D668" t="s">
        <v>42</v>
      </c>
      <c r="E668" t="s">
        <v>50</v>
      </c>
      <c r="F668" t="s">
        <v>51</v>
      </c>
      <c r="G668" s="1">
        <v>45839</v>
      </c>
      <c r="H668">
        <v>284</v>
      </c>
      <c r="I668">
        <v>6</v>
      </c>
      <c r="J668">
        <v>0.9</v>
      </c>
      <c r="K668">
        <v>1438.2</v>
      </c>
      <c r="L668" t="s">
        <v>18</v>
      </c>
    </row>
    <row r="669" spans="1:12" x14ac:dyDescent="0.3">
      <c r="A669">
        <v>57</v>
      </c>
      <c r="B669" t="s">
        <v>150</v>
      </c>
      <c r="C669" t="s">
        <v>151</v>
      </c>
      <c r="D669" t="s">
        <v>42</v>
      </c>
      <c r="E669" t="s">
        <v>50</v>
      </c>
      <c r="F669" t="s">
        <v>51</v>
      </c>
      <c r="G669" s="1">
        <v>45870</v>
      </c>
      <c r="H669">
        <v>307</v>
      </c>
      <c r="I669">
        <v>2</v>
      </c>
      <c r="J669">
        <v>0.87</v>
      </c>
      <c r="K669">
        <v>1548.6</v>
      </c>
      <c r="L669" t="s">
        <v>18</v>
      </c>
    </row>
    <row r="670" spans="1:12" x14ac:dyDescent="0.3">
      <c r="A670">
        <v>57</v>
      </c>
      <c r="B670" t="s">
        <v>150</v>
      </c>
      <c r="C670" t="s">
        <v>151</v>
      </c>
      <c r="D670" t="s">
        <v>42</v>
      </c>
      <c r="E670" t="s">
        <v>50</v>
      </c>
      <c r="F670" t="s">
        <v>51</v>
      </c>
      <c r="G670" s="1">
        <v>45901</v>
      </c>
      <c r="H670">
        <v>391</v>
      </c>
      <c r="I670">
        <v>3</v>
      </c>
      <c r="J670">
        <v>0.97</v>
      </c>
      <c r="K670">
        <v>1951.8</v>
      </c>
      <c r="L670" t="s">
        <v>18</v>
      </c>
    </row>
    <row r="671" spans="1:12" x14ac:dyDescent="0.3">
      <c r="A671">
        <v>57</v>
      </c>
      <c r="B671" t="s">
        <v>150</v>
      </c>
      <c r="C671" t="s">
        <v>151</v>
      </c>
      <c r="D671" t="s">
        <v>42</v>
      </c>
      <c r="E671" t="s">
        <v>50</v>
      </c>
      <c r="F671" t="s">
        <v>51</v>
      </c>
      <c r="G671" s="1">
        <v>45931</v>
      </c>
      <c r="H671">
        <v>316</v>
      </c>
      <c r="I671">
        <v>9</v>
      </c>
      <c r="J671">
        <v>0.92</v>
      </c>
      <c r="K671">
        <v>1591.8</v>
      </c>
      <c r="L671" t="s">
        <v>18</v>
      </c>
    </row>
    <row r="672" spans="1:12" x14ac:dyDescent="0.3">
      <c r="A672">
        <v>57</v>
      </c>
      <c r="B672" t="s">
        <v>150</v>
      </c>
      <c r="C672" t="s">
        <v>151</v>
      </c>
      <c r="D672" t="s">
        <v>42</v>
      </c>
      <c r="E672" t="s">
        <v>50</v>
      </c>
      <c r="F672" t="s">
        <v>51</v>
      </c>
      <c r="G672" s="1">
        <v>45962</v>
      </c>
      <c r="H672">
        <v>160</v>
      </c>
      <c r="I672">
        <v>4</v>
      </c>
      <c r="J672">
        <v>0.85</v>
      </c>
      <c r="K672">
        <v>843</v>
      </c>
      <c r="L672" t="s">
        <v>18</v>
      </c>
    </row>
    <row r="673" spans="1:12" x14ac:dyDescent="0.3">
      <c r="A673">
        <v>57</v>
      </c>
      <c r="B673" t="s">
        <v>150</v>
      </c>
      <c r="C673" t="s">
        <v>151</v>
      </c>
      <c r="D673" t="s">
        <v>42</v>
      </c>
      <c r="E673" t="s">
        <v>50</v>
      </c>
      <c r="F673" t="s">
        <v>51</v>
      </c>
      <c r="G673" s="1">
        <v>45992</v>
      </c>
      <c r="H673">
        <v>237</v>
      </c>
      <c r="I673">
        <v>8</v>
      </c>
      <c r="J673">
        <v>0.95</v>
      </c>
      <c r="K673">
        <v>1212.5999999999999</v>
      </c>
      <c r="L673" t="s">
        <v>18</v>
      </c>
    </row>
    <row r="674" spans="1:12" x14ac:dyDescent="0.3">
      <c r="A674">
        <v>58</v>
      </c>
      <c r="B674" t="s">
        <v>152</v>
      </c>
      <c r="C674" t="s">
        <v>153</v>
      </c>
      <c r="D674" t="s">
        <v>14</v>
      </c>
      <c r="E674" t="s">
        <v>54</v>
      </c>
      <c r="F674" t="s">
        <v>51</v>
      </c>
      <c r="G674" s="1">
        <v>45658</v>
      </c>
      <c r="H674">
        <v>357</v>
      </c>
      <c r="I674">
        <v>7</v>
      </c>
      <c r="J674">
        <v>0.89</v>
      </c>
      <c r="K674">
        <v>2420.5</v>
      </c>
      <c r="L674" t="s">
        <v>18</v>
      </c>
    </row>
    <row r="675" spans="1:12" x14ac:dyDescent="0.3">
      <c r="A675">
        <v>58</v>
      </c>
      <c r="B675" t="s">
        <v>152</v>
      </c>
      <c r="C675" t="s">
        <v>153</v>
      </c>
      <c r="D675" t="s">
        <v>14</v>
      </c>
      <c r="E675" t="s">
        <v>54</v>
      </c>
      <c r="F675" t="s">
        <v>51</v>
      </c>
      <c r="G675" s="1">
        <v>45689</v>
      </c>
      <c r="H675">
        <v>249</v>
      </c>
      <c r="I675">
        <v>7</v>
      </c>
      <c r="J675">
        <v>0.89</v>
      </c>
      <c r="K675">
        <v>1718.5</v>
      </c>
      <c r="L675" t="s">
        <v>17</v>
      </c>
    </row>
    <row r="676" spans="1:12" x14ac:dyDescent="0.3">
      <c r="A676">
        <v>58</v>
      </c>
      <c r="B676" t="s">
        <v>152</v>
      </c>
      <c r="C676" t="s">
        <v>153</v>
      </c>
      <c r="D676" t="s">
        <v>14</v>
      </c>
      <c r="E676" t="s">
        <v>54</v>
      </c>
      <c r="F676" t="s">
        <v>51</v>
      </c>
      <c r="G676" s="1">
        <v>45717</v>
      </c>
      <c r="H676">
        <v>360</v>
      </c>
      <c r="I676">
        <v>7</v>
      </c>
      <c r="J676">
        <v>0.94</v>
      </c>
      <c r="K676">
        <v>2440</v>
      </c>
      <c r="L676" t="s">
        <v>18</v>
      </c>
    </row>
    <row r="677" spans="1:12" x14ac:dyDescent="0.3">
      <c r="A677">
        <v>58</v>
      </c>
      <c r="B677" t="s">
        <v>152</v>
      </c>
      <c r="C677" t="s">
        <v>153</v>
      </c>
      <c r="D677" t="s">
        <v>14</v>
      </c>
      <c r="E677" t="s">
        <v>54</v>
      </c>
      <c r="F677" t="s">
        <v>51</v>
      </c>
      <c r="G677" s="1">
        <v>45748</v>
      </c>
      <c r="H677">
        <v>164</v>
      </c>
      <c r="I677">
        <v>7</v>
      </c>
      <c r="J677">
        <v>0.88</v>
      </c>
      <c r="K677">
        <v>1166</v>
      </c>
      <c r="L677" t="s">
        <v>18</v>
      </c>
    </row>
    <row r="678" spans="1:12" x14ac:dyDescent="0.3">
      <c r="A678">
        <v>58</v>
      </c>
      <c r="B678" t="s">
        <v>152</v>
      </c>
      <c r="C678" t="s">
        <v>153</v>
      </c>
      <c r="D678" t="s">
        <v>14</v>
      </c>
      <c r="E678" t="s">
        <v>54</v>
      </c>
      <c r="F678" t="s">
        <v>51</v>
      </c>
      <c r="G678" s="1">
        <v>45778</v>
      </c>
      <c r="H678">
        <v>196</v>
      </c>
      <c r="I678">
        <v>2</v>
      </c>
      <c r="J678">
        <v>0.96</v>
      </c>
      <c r="K678">
        <v>1374</v>
      </c>
      <c r="L678" t="s">
        <v>18</v>
      </c>
    </row>
    <row r="679" spans="1:12" x14ac:dyDescent="0.3">
      <c r="A679">
        <v>58</v>
      </c>
      <c r="B679" t="s">
        <v>152</v>
      </c>
      <c r="C679" t="s">
        <v>153</v>
      </c>
      <c r="D679" t="s">
        <v>14</v>
      </c>
      <c r="E679" t="s">
        <v>54</v>
      </c>
      <c r="F679" t="s">
        <v>51</v>
      </c>
      <c r="G679" s="1">
        <v>45809</v>
      </c>
      <c r="H679">
        <v>298</v>
      </c>
      <c r="I679">
        <v>5</v>
      </c>
      <c r="J679">
        <v>0.98</v>
      </c>
      <c r="K679">
        <v>2037</v>
      </c>
      <c r="L679" t="s">
        <v>17</v>
      </c>
    </row>
    <row r="680" spans="1:12" x14ac:dyDescent="0.3">
      <c r="A680">
        <v>58</v>
      </c>
      <c r="B680" t="s">
        <v>152</v>
      </c>
      <c r="C680" t="s">
        <v>153</v>
      </c>
      <c r="D680" t="s">
        <v>14</v>
      </c>
      <c r="E680" t="s">
        <v>54</v>
      </c>
      <c r="F680" t="s">
        <v>51</v>
      </c>
      <c r="G680" s="1">
        <v>45839</v>
      </c>
      <c r="H680">
        <v>335</v>
      </c>
      <c r="I680">
        <v>3</v>
      </c>
      <c r="J680">
        <v>0.87</v>
      </c>
      <c r="K680">
        <v>2277.5</v>
      </c>
      <c r="L680" t="s">
        <v>18</v>
      </c>
    </row>
    <row r="681" spans="1:12" x14ac:dyDescent="0.3">
      <c r="A681">
        <v>58</v>
      </c>
      <c r="B681" t="s">
        <v>152</v>
      </c>
      <c r="C681" t="s">
        <v>153</v>
      </c>
      <c r="D681" t="s">
        <v>14</v>
      </c>
      <c r="E681" t="s">
        <v>54</v>
      </c>
      <c r="F681" t="s">
        <v>51</v>
      </c>
      <c r="G681" s="1">
        <v>45870</v>
      </c>
      <c r="H681">
        <v>317</v>
      </c>
      <c r="I681">
        <v>7</v>
      </c>
      <c r="J681">
        <v>0.98</v>
      </c>
      <c r="K681">
        <v>2160.5</v>
      </c>
      <c r="L681" t="s">
        <v>18</v>
      </c>
    </row>
    <row r="682" spans="1:12" x14ac:dyDescent="0.3">
      <c r="A682">
        <v>58</v>
      </c>
      <c r="B682" t="s">
        <v>152</v>
      </c>
      <c r="C682" t="s">
        <v>153</v>
      </c>
      <c r="D682" t="s">
        <v>14</v>
      </c>
      <c r="E682" t="s">
        <v>54</v>
      </c>
      <c r="F682" t="s">
        <v>51</v>
      </c>
      <c r="G682" s="1">
        <v>45901</v>
      </c>
      <c r="H682">
        <v>277</v>
      </c>
      <c r="I682">
        <v>7</v>
      </c>
      <c r="J682">
        <v>0.94</v>
      </c>
      <c r="K682">
        <v>1900.5</v>
      </c>
      <c r="L682" t="s">
        <v>18</v>
      </c>
    </row>
    <row r="683" spans="1:12" x14ac:dyDescent="0.3">
      <c r="A683">
        <v>58</v>
      </c>
      <c r="B683" t="s">
        <v>152</v>
      </c>
      <c r="C683" t="s">
        <v>153</v>
      </c>
      <c r="D683" t="s">
        <v>14</v>
      </c>
      <c r="E683" t="s">
        <v>54</v>
      </c>
      <c r="F683" t="s">
        <v>51</v>
      </c>
      <c r="G683" s="1">
        <v>45931</v>
      </c>
      <c r="H683">
        <v>297</v>
      </c>
      <c r="I683">
        <v>10</v>
      </c>
      <c r="J683">
        <v>0.89</v>
      </c>
      <c r="K683">
        <v>2030.5</v>
      </c>
      <c r="L683" t="s">
        <v>17</v>
      </c>
    </row>
    <row r="684" spans="1:12" x14ac:dyDescent="0.3">
      <c r="A684">
        <v>58</v>
      </c>
      <c r="B684" t="s">
        <v>152</v>
      </c>
      <c r="C684" t="s">
        <v>153</v>
      </c>
      <c r="D684" t="s">
        <v>14</v>
      </c>
      <c r="E684" t="s">
        <v>54</v>
      </c>
      <c r="F684" t="s">
        <v>51</v>
      </c>
      <c r="G684" s="1">
        <v>45962</v>
      </c>
      <c r="H684">
        <v>333</v>
      </c>
      <c r="I684">
        <v>7</v>
      </c>
      <c r="J684">
        <v>0.94</v>
      </c>
      <c r="K684">
        <v>2264.5</v>
      </c>
      <c r="L684" t="s">
        <v>18</v>
      </c>
    </row>
    <row r="685" spans="1:12" x14ac:dyDescent="0.3">
      <c r="A685">
        <v>58</v>
      </c>
      <c r="B685" t="s">
        <v>152</v>
      </c>
      <c r="C685" t="s">
        <v>153</v>
      </c>
      <c r="D685" t="s">
        <v>14</v>
      </c>
      <c r="E685" t="s">
        <v>54</v>
      </c>
      <c r="F685" t="s">
        <v>51</v>
      </c>
      <c r="G685" s="1">
        <v>45992</v>
      </c>
      <c r="H685">
        <v>351</v>
      </c>
      <c r="I685">
        <v>8</v>
      </c>
      <c r="J685">
        <v>0.87</v>
      </c>
      <c r="K685">
        <v>2381.5</v>
      </c>
      <c r="L685" t="s">
        <v>18</v>
      </c>
    </row>
    <row r="686" spans="1:12" x14ac:dyDescent="0.3">
      <c r="A686">
        <v>59</v>
      </c>
      <c r="B686" t="s">
        <v>154</v>
      </c>
      <c r="C686" t="s">
        <v>155</v>
      </c>
      <c r="D686" t="s">
        <v>24</v>
      </c>
      <c r="E686" t="s">
        <v>57</v>
      </c>
      <c r="F686" t="s">
        <v>51</v>
      </c>
      <c r="G686" s="1">
        <v>45658</v>
      </c>
      <c r="H686">
        <v>373</v>
      </c>
      <c r="I686">
        <v>2</v>
      </c>
      <c r="J686">
        <v>0.94</v>
      </c>
      <c r="K686">
        <v>3308.6</v>
      </c>
      <c r="L686" t="s">
        <v>18</v>
      </c>
    </row>
    <row r="687" spans="1:12" x14ac:dyDescent="0.3">
      <c r="A687">
        <v>59</v>
      </c>
      <c r="B687" t="s">
        <v>154</v>
      </c>
      <c r="C687" t="s">
        <v>155</v>
      </c>
      <c r="D687" t="s">
        <v>24</v>
      </c>
      <c r="E687" t="s">
        <v>57</v>
      </c>
      <c r="F687" t="s">
        <v>51</v>
      </c>
      <c r="G687" s="1">
        <v>45689</v>
      </c>
      <c r="H687">
        <v>231</v>
      </c>
      <c r="I687">
        <v>8</v>
      </c>
      <c r="J687">
        <v>0.93</v>
      </c>
      <c r="K687">
        <v>2144.1999999999998</v>
      </c>
      <c r="L687" t="s">
        <v>18</v>
      </c>
    </row>
    <row r="688" spans="1:12" x14ac:dyDescent="0.3">
      <c r="A688">
        <v>59</v>
      </c>
      <c r="B688" t="s">
        <v>154</v>
      </c>
      <c r="C688" t="s">
        <v>155</v>
      </c>
      <c r="D688" t="s">
        <v>24</v>
      </c>
      <c r="E688" t="s">
        <v>57</v>
      </c>
      <c r="F688" t="s">
        <v>51</v>
      </c>
      <c r="G688" s="1">
        <v>45717</v>
      </c>
      <c r="H688">
        <v>310</v>
      </c>
      <c r="I688">
        <v>7</v>
      </c>
      <c r="J688">
        <v>0.9</v>
      </c>
      <c r="K688">
        <v>2792</v>
      </c>
      <c r="L688" t="s">
        <v>18</v>
      </c>
    </row>
    <row r="689" spans="1:12" x14ac:dyDescent="0.3">
      <c r="A689">
        <v>59</v>
      </c>
      <c r="B689" t="s">
        <v>154</v>
      </c>
      <c r="C689" t="s">
        <v>155</v>
      </c>
      <c r="D689" t="s">
        <v>24</v>
      </c>
      <c r="E689" t="s">
        <v>57</v>
      </c>
      <c r="F689" t="s">
        <v>51</v>
      </c>
      <c r="G689" s="1">
        <v>45748</v>
      </c>
      <c r="H689">
        <v>262</v>
      </c>
      <c r="I689">
        <v>9</v>
      </c>
      <c r="J689">
        <v>0.85</v>
      </c>
      <c r="K689">
        <v>2398.4</v>
      </c>
      <c r="L689" t="s">
        <v>18</v>
      </c>
    </row>
    <row r="690" spans="1:12" x14ac:dyDescent="0.3">
      <c r="A690">
        <v>59</v>
      </c>
      <c r="B690" t="s">
        <v>154</v>
      </c>
      <c r="C690" t="s">
        <v>155</v>
      </c>
      <c r="D690" t="s">
        <v>24</v>
      </c>
      <c r="E690" t="s">
        <v>57</v>
      </c>
      <c r="F690" t="s">
        <v>51</v>
      </c>
      <c r="G690" s="1">
        <v>45778</v>
      </c>
      <c r="H690">
        <v>236</v>
      </c>
      <c r="I690">
        <v>3</v>
      </c>
      <c r="J690">
        <v>0.98</v>
      </c>
      <c r="K690">
        <v>2185.1999999999998</v>
      </c>
      <c r="L690" t="s">
        <v>18</v>
      </c>
    </row>
    <row r="691" spans="1:12" x14ac:dyDescent="0.3">
      <c r="A691">
        <v>59</v>
      </c>
      <c r="B691" t="s">
        <v>154</v>
      </c>
      <c r="C691" t="s">
        <v>155</v>
      </c>
      <c r="D691" t="s">
        <v>24</v>
      </c>
      <c r="E691" t="s">
        <v>57</v>
      </c>
      <c r="F691" t="s">
        <v>51</v>
      </c>
      <c r="G691" s="1">
        <v>45809</v>
      </c>
      <c r="H691">
        <v>278</v>
      </c>
      <c r="I691">
        <v>6</v>
      </c>
      <c r="J691">
        <v>0.94</v>
      </c>
      <c r="K691">
        <v>2529.6</v>
      </c>
      <c r="L691" t="s">
        <v>18</v>
      </c>
    </row>
    <row r="692" spans="1:12" x14ac:dyDescent="0.3">
      <c r="A692">
        <v>59</v>
      </c>
      <c r="B692" t="s">
        <v>154</v>
      </c>
      <c r="C692" t="s">
        <v>155</v>
      </c>
      <c r="D692" t="s">
        <v>24</v>
      </c>
      <c r="E692" t="s">
        <v>57</v>
      </c>
      <c r="F692" t="s">
        <v>51</v>
      </c>
      <c r="G692" s="1">
        <v>45839</v>
      </c>
      <c r="H692">
        <v>391</v>
      </c>
      <c r="I692">
        <v>4</v>
      </c>
      <c r="J692">
        <v>0.9</v>
      </c>
      <c r="K692">
        <v>3456.2</v>
      </c>
      <c r="L692" t="s">
        <v>18</v>
      </c>
    </row>
    <row r="693" spans="1:12" x14ac:dyDescent="0.3">
      <c r="A693">
        <v>59</v>
      </c>
      <c r="B693" t="s">
        <v>154</v>
      </c>
      <c r="C693" t="s">
        <v>155</v>
      </c>
      <c r="D693" t="s">
        <v>24</v>
      </c>
      <c r="E693" t="s">
        <v>57</v>
      </c>
      <c r="F693" t="s">
        <v>51</v>
      </c>
      <c r="G693" s="1">
        <v>45870</v>
      </c>
      <c r="H693">
        <v>230</v>
      </c>
      <c r="I693">
        <v>10</v>
      </c>
      <c r="J693">
        <v>0.93</v>
      </c>
      <c r="K693">
        <v>2136</v>
      </c>
      <c r="L693" t="s">
        <v>18</v>
      </c>
    </row>
    <row r="694" spans="1:12" x14ac:dyDescent="0.3">
      <c r="A694">
        <v>59</v>
      </c>
      <c r="B694" t="s">
        <v>154</v>
      </c>
      <c r="C694" t="s">
        <v>155</v>
      </c>
      <c r="D694" t="s">
        <v>24</v>
      </c>
      <c r="E694" t="s">
        <v>57</v>
      </c>
      <c r="F694" t="s">
        <v>51</v>
      </c>
      <c r="G694" s="1">
        <v>45901</v>
      </c>
      <c r="H694">
        <v>214</v>
      </c>
      <c r="I694">
        <v>3</v>
      </c>
      <c r="J694">
        <v>0.97</v>
      </c>
      <c r="K694">
        <v>2004.8</v>
      </c>
      <c r="L694" t="s">
        <v>18</v>
      </c>
    </row>
    <row r="695" spans="1:12" x14ac:dyDescent="0.3">
      <c r="A695">
        <v>59</v>
      </c>
      <c r="B695" t="s">
        <v>154</v>
      </c>
      <c r="C695" t="s">
        <v>155</v>
      </c>
      <c r="D695" t="s">
        <v>24</v>
      </c>
      <c r="E695" t="s">
        <v>57</v>
      </c>
      <c r="F695" t="s">
        <v>51</v>
      </c>
      <c r="G695" s="1">
        <v>45931</v>
      </c>
      <c r="H695">
        <v>381</v>
      </c>
      <c r="I695">
        <v>5</v>
      </c>
      <c r="J695">
        <v>0.86</v>
      </c>
      <c r="K695">
        <v>3374.2</v>
      </c>
      <c r="L695" t="s">
        <v>18</v>
      </c>
    </row>
    <row r="696" spans="1:12" x14ac:dyDescent="0.3">
      <c r="A696">
        <v>59</v>
      </c>
      <c r="B696" t="s">
        <v>154</v>
      </c>
      <c r="C696" t="s">
        <v>155</v>
      </c>
      <c r="D696" t="s">
        <v>24</v>
      </c>
      <c r="E696" t="s">
        <v>57</v>
      </c>
      <c r="F696" t="s">
        <v>51</v>
      </c>
      <c r="G696" s="1">
        <v>45962</v>
      </c>
      <c r="H696">
        <v>315</v>
      </c>
      <c r="I696">
        <v>9</v>
      </c>
      <c r="J696">
        <v>0.98</v>
      </c>
      <c r="K696">
        <v>2833</v>
      </c>
      <c r="L696" t="s">
        <v>18</v>
      </c>
    </row>
    <row r="697" spans="1:12" x14ac:dyDescent="0.3">
      <c r="A697">
        <v>59</v>
      </c>
      <c r="B697" t="s">
        <v>154</v>
      </c>
      <c r="C697" t="s">
        <v>155</v>
      </c>
      <c r="D697" t="s">
        <v>24</v>
      </c>
      <c r="E697" t="s">
        <v>57</v>
      </c>
      <c r="F697" t="s">
        <v>51</v>
      </c>
      <c r="G697" s="1">
        <v>45992</v>
      </c>
      <c r="H697">
        <v>293</v>
      </c>
      <c r="I697">
        <v>2</v>
      </c>
      <c r="J697">
        <v>0.98</v>
      </c>
      <c r="K697">
        <v>2652.6</v>
      </c>
      <c r="L697" t="s">
        <v>18</v>
      </c>
    </row>
    <row r="698" spans="1:12" x14ac:dyDescent="0.3">
      <c r="A698">
        <v>60</v>
      </c>
      <c r="B698" t="s">
        <v>156</v>
      </c>
      <c r="C698" t="s">
        <v>157</v>
      </c>
      <c r="D698" t="s">
        <v>32</v>
      </c>
      <c r="E698" t="s">
        <v>33</v>
      </c>
      <c r="F698" t="s">
        <v>34</v>
      </c>
      <c r="G698" s="1">
        <v>45658</v>
      </c>
      <c r="H698">
        <v>289</v>
      </c>
      <c r="I698">
        <v>9</v>
      </c>
      <c r="J698">
        <v>0.93</v>
      </c>
      <c r="K698">
        <v>3534.5</v>
      </c>
      <c r="L698" t="s">
        <v>18</v>
      </c>
    </row>
    <row r="699" spans="1:12" x14ac:dyDescent="0.3">
      <c r="A699">
        <v>60</v>
      </c>
      <c r="B699" t="s">
        <v>156</v>
      </c>
      <c r="C699" t="s">
        <v>157</v>
      </c>
      <c r="D699" t="s">
        <v>32</v>
      </c>
      <c r="E699" t="s">
        <v>33</v>
      </c>
      <c r="F699" t="s">
        <v>34</v>
      </c>
      <c r="G699" s="1">
        <v>45689</v>
      </c>
      <c r="H699">
        <v>334</v>
      </c>
      <c r="I699">
        <v>8</v>
      </c>
      <c r="J699">
        <v>0.97</v>
      </c>
      <c r="K699">
        <v>4007</v>
      </c>
      <c r="L699" t="s">
        <v>18</v>
      </c>
    </row>
    <row r="700" spans="1:12" x14ac:dyDescent="0.3">
      <c r="A700">
        <v>60</v>
      </c>
      <c r="B700" t="s">
        <v>156</v>
      </c>
      <c r="C700" t="s">
        <v>157</v>
      </c>
      <c r="D700" t="s">
        <v>32</v>
      </c>
      <c r="E700" t="s">
        <v>33</v>
      </c>
      <c r="F700" t="s">
        <v>34</v>
      </c>
      <c r="G700" s="1">
        <v>45717</v>
      </c>
      <c r="H700">
        <v>187</v>
      </c>
      <c r="I700">
        <v>4</v>
      </c>
      <c r="J700">
        <v>0.94</v>
      </c>
      <c r="K700">
        <v>2463.5</v>
      </c>
      <c r="L700" t="s">
        <v>18</v>
      </c>
    </row>
    <row r="701" spans="1:12" x14ac:dyDescent="0.3">
      <c r="A701">
        <v>60</v>
      </c>
      <c r="B701" t="s">
        <v>156</v>
      </c>
      <c r="C701" t="s">
        <v>157</v>
      </c>
      <c r="D701" t="s">
        <v>32</v>
      </c>
      <c r="E701" t="s">
        <v>33</v>
      </c>
      <c r="F701" t="s">
        <v>34</v>
      </c>
      <c r="G701" s="1">
        <v>45748</v>
      </c>
      <c r="H701">
        <v>194</v>
      </c>
      <c r="I701">
        <v>5</v>
      </c>
      <c r="J701">
        <v>0.93</v>
      </c>
      <c r="K701">
        <v>2537</v>
      </c>
      <c r="L701" t="s">
        <v>18</v>
      </c>
    </row>
    <row r="702" spans="1:12" x14ac:dyDescent="0.3">
      <c r="A702">
        <v>60</v>
      </c>
      <c r="B702" t="s">
        <v>156</v>
      </c>
      <c r="C702" t="s">
        <v>157</v>
      </c>
      <c r="D702" t="s">
        <v>32</v>
      </c>
      <c r="E702" t="s">
        <v>33</v>
      </c>
      <c r="F702" t="s">
        <v>34</v>
      </c>
      <c r="G702" s="1">
        <v>45778</v>
      </c>
      <c r="H702">
        <v>185</v>
      </c>
      <c r="I702">
        <v>6</v>
      </c>
      <c r="J702">
        <v>0.94</v>
      </c>
      <c r="K702">
        <v>2442.5</v>
      </c>
      <c r="L702" t="s">
        <v>18</v>
      </c>
    </row>
    <row r="703" spans="1:12" x14ac:dyDescent="0.3">
      <c r="A703">
        <v>60</v>
      </c>
      <c r="B703" t="s">
        <v>156</v>
      </c>
      <c r="C703" t="s">
        <v>157</v>
      </c>
      <c r="D703" t="s">
        <v>32</v>
      </c>
      <c r="E703" t="s">
        <v>33</v>
      </c>
      <c r="F703" t="s">
        <v>34</v>
      </c>
      <c r="G703" s="1">
        <v>45809</v>
      </c>
      <c r="H703">
        <v>211</v>
      </c>
      <c r="I703">
        <v>4</v>
      </c>
      <c r="J703">
        <v>0.98</v>
      </c>
      <c r="K703">
        <v>2715.5</v>
      </c>
      <c r="L703" t="s">
        <v>18</v>
      </c>
    </row>
    <row r="704" spans="1:12" x14ac:dyDescent="0.3">
      <c r="A704">
        <v>60</v>
      </c>
      <c r="B704" t="s">
        <v>156</v>
      </c>
      <c r="C704" t="s">
        <v>157</v>
      </c>
      <c r="D704" t="s">
        <v>32</v>
      </c>
      <c r="E704" t="s">
        <v>33</v>
      </c>
      <c r="F704" t="s">
        <v>34</v>
      </c>
      <c r="G704" s="1">
        <v>45839</v>
      </c>
      <c r="H704">
        <v>221</v>
      </c>
      <c r="I704">
        <v>9</v>
      </c>
      <c r="J704">
        <v>0.9</v>
      </c>
      <c r="K704">
        <v>2820.5</v>
      </c>
      <c r="L704" t="s">
        <v>18</v>
      </c>
    </row>
    <row r="705" spans="1:12" x14ac:dyDescent="0.3">
      <c r="A705">
        <v>60</v>
      </c>
      <c r="B705" t="s">
        <v>156</v>
      </c>
      <c r="C705" t="s">
        <v>157</v>
      </c>
      <c r="D705" t="s">
        <v>32</v>
      </c>
      <c r="E705" t="s">
        <v>33</v>
      </c>
      <c r="F705" t="s">
        <v>34</v>
      </c>
      <c r="G705" s="1">
        <v>45870</v>
      </c>
      <c r="H705">
        <v>285</v>
      </c>
      <c r="I705">
        <v>5</v>
      </c>
      <c r="J705">
        <v>0.89</v>
      </c>
      <c r="K705">
        <v>3492.5</v>
      </c>
      <c r="L705" t="s">
        <v>18</v>
      </c>
    </row>
    <row r="706" spans="1:12" x14ac:dyDescent="0.3">
      <c r="A706">
        <v>60</v>
      </c>
      <c r="B706" t="s">
        <v>156</v>
      </c>
      <c r="C706" t="s">
        <v>157</v>
      </c>
      <c r="D706" t="s">
        <v>32</v>
      </c>
      <c r="E706" t="s">
        <v>33</v>
      </c>
      <c r="F706" t="s">
        <v>34</v>
      </c>
      <c r="G706" s="1">
        <v>45901</v>
      </c>
      <c r="H706">
        <v>316</v>
      </c>
      <c r="I706">
        <v>10</v>
      </c>
      <c r="J706">
        <v>0.88</v>
      </c>
      <c r="K706">
        <v>3818</v>
      </c>
      <c r="L706" t="s">
        <v>18</v>
      </c>
    </row>
    <row r="707" spans="1:12" x14ac:dyDescent="0.3">
      <c r="A707">
        <v>60</v>
      </c>
      <c r="B707" t="s">
        <v>156</v>
      </c>
      <c r="C707" t="s">
        <v>157</v>
      </c>
      <c r="D707" t="s">
        <v>32</v>
      </c>
      <c r="E707" t="s">
        <v>33</v>
      </c>
      <c r="F707" t="s">
        <v>34</v>
      </c>
      <c r="G707" s="1">
        <v>45931</v>
      </c>
      <c r="H707">
        <v>316</v>
      </c>
      <c r="I707">
        <v>5</v>
      </c>
      <c r="J707">
        <v>0.85</v>
      </c>
      <c r="K707">
        <v>3818</v>
      </c>
      <c r="L707" t="s">
        <v>18</v>
      </c>
    </row>
    <row r="708" spans="1:12" x14ac:dyDescent="0.3">
      <c r="A708">
        <v>60</v>
      </c>
      <c r="B708" t="s">
        <v>156</v>
      </c>
      <c r="C708" t="s">
        <v>157</v>
      </c>
      <c r="D708" t="s">
        <v>32</v>
      </c>
      <c r="E708" t="s">
        <v>33</v>
      </c>
      <c r="F708" t="s">
        <v>34</v>
      </c>
      <c r="G708" s="1">
        <v>45962</v>
      </c>
      <c r="H708">
        <v>317</v>
      </c>
      <c r="I708">
        <v>4</v>
      </c>
      <c r="J708">
        <v>0.9</v>
      </c>
      <c r="K708">
        <v>3828.5</v>
      </c>
      <c r="L708" t="s">
        <v>18</v>
      </c>
    </row>
    <row r="709" spans="1:12" x14ac:dyDescent="0.3">
      <c r="A709">
        <v>60</v>
      </c>
      <c r="B709" t="s">
        <v>156</v>
      </c>
      <c r="C709" t="s">
        <v>157</v>
      </c>
      <c r="D709" t="s">
        <v>32</v>
      </c>
      <c r="E709" t="s">
        <v>33</v>
      </c>
      <c r="F709" t="s">
        <v>34</v>
      </c>
      <c r="G709" s="1">
        <v>45992</v>
      </c>
      <c r="H709">
        <v>275</v>
      </c>
      <c r="I709">
        <v>4</v>
      </c>
      <c r="J709">
        <v>0.86</v>
      </c>
      <c r="K709">
        <v>3387.5</v>
      </c>
      <c r="L709" t="s">
        <v>18</v>
      </c>
    </row>
    <row r="710" spans="1:12" x14ac:dyDescent="0.3">
      <c r="A710">
        <v>61</v>
      </c>
      <c r="B710" t="s">
        <v>158</v>
      </c>
      <c r="C710" t="s">
        <v>159</v>
      </c>
      <c r="D710" t="s">
        <v>42</v>
      </c>
      <c r="E710" t="s">
        <v>62</v>
      </c>
      <c r="F710" t="s">
        <v>34</v>
      </c>
      <c r="G710" s="1">
        <v>45658</v>
      </c>
      <c r="H710">
        <v>363</v>
      </c>
      <c r="I710">
        <v>6</v>
      </c>
      <c r="J710">
        <v>0.85</v>
      </c>
      <c r="K710">
        <v>1817.4</v>
      </c>
      <c r="L710" t="s">
        <v>18</v>
      </c>
    </row>
    <row r="711" spans="1:12" x14ac:dyDescent="0.3">
      <c r="A711">
        <v>61</v>
      </c>
      <c r="B711" t="s">
        <v>158</v>
      </c>
      <c r="C711" t="s">
        <v>159</v>
      </c>
      <c r="D711" t="s">
        <v>42</v>
      </c>
      <c r="E711" t="s">
        <v>62</v>
      </c>
      <c r="F711" t="s">
        <v>34</v>
      </c>
      <c r="G711" s="1">
        <v>45689</v>
      </c>
      <c r="H711">
        <v>217</v>
      </c>
      <c r="I711">
        <v>7</v>
      </c>
      <c r="J711">
        <v>0.92</v>
      </c>
      <c r="K711">
        <v>1116.5999999999999</v>
      </c>
      <c r="L711" t="s">
        <v>18</v>
      </c>
    </row>
    <row r="712" spans="1:12" x14ac:dyDescent="0.3">
      <c r="A712">
        <v>61</v>
      </c>
      <c r="B712" t="s">
        <v>158</v>
      </c>
      <c r="C712" t="s">
        <v>159</v>
      </c>
      <c r="D712" t="s">
        <v>42</v>
      </c>
      <c r="E712" t="s">
        <v>62</v>
      </c>
      <c r="F712" t="s">
        <v>34</v>
      </c>
      <c r="G712" s="1">
        <v>45717</v>
      </c>
      <c r="H712">
        <v>208</v>
      </c>
      <c r="I712">
        <v>5</v>
      </c>
      <c r="J712">
        <v>0.85</v>
      </c>
      <c r="K712">
        <v>1073.4000000000001</v>
      </c>
      <c r="L712" t="s">
        <v>18</v>
      </c>
    </row>
    <row r="713" spans="1:12" x14ac:dyDescent="0.3">
      <c r="A713">
        <v>61</v>
      </c>
      <c r="B713" t="s">
        <v>158</v>
      </c>
      <c r="C713" t="s">
        <v>159</v>
      </c>
      <c r="D713" t="s">
        <v>42</v>
      </c>
      <c r="E713" t="s">
        <v>62</v>
      </c>
      <c r="F713" t="s">
        <v>34</v>
      </c>
      <c r="G713" s="1">
        <v>45748</v>
      </c>
      <c r="H713">
        <v>274</v>
      </c>
      <c r="I713">
        <v>2</v>
      </c>
      <c r="J713">
        <v>0.93</v>
      </c>
      <c r="K713">
        <v>1390.2</v>
      </c>
      <c r="L713" t="s">
        <v>17</v>
      </c>
    </row>
    <row r="714" spans="1:12" x14ac:dyDescent="0.3">
      <c r="A714">
        <v>61</v>
      </c>
      <c r="B714" t="s">
        <v>158</v>
      </c>
      <c r="C714" t="s">
        <v>159</v>
      </c>
      <c r="D714" t="s">
        <v>42</v>
      </c>
      <c r="E714" t="s">
        <v>62</v>
      </c>
      <c r="F714" t="s">
        <v>34</v>
      </c>
      <c r="G714" s="1">
        <v>45778</v>
      </c>
      <c r="H714">
        <v>186</v>
      </c>
      <c r="I714">
        <v>2</v>
      </c>
      <c r="J714">
        <v>0.88</v>
      </c>
      <c r="K714">
        <v>967.8</v>
      </c>
      <c r="L714" t="s">
        <v>18</v>
      </c>
    </row>
    <row r="715" spans="1:12" x14ac:dyDescent="0.3">
      <c r="A715">
        <v>61</v>
      </c>
      <c r="B715" t="s">
        <v>158</v>
      </c>
      <c r="C715" t="s">
        <v>159</v>
      </c>
      <c r="D715" t="s">
        <v>42</v>
      </c>
      <c r="E715" t="s">
        <v>62</v>
      </c>
      <c r="F715" t="s">
        <v>34</v>
      </c>
      <c r="G715" s="1">
        <v>45809</v>
      </c>
      <c r="H715">
        <v>279</v>
      </c>
      <c r="I715">
        <v>10</v>
      </c>
      <c r="J715">
        <v>0.99</v>
      </c>
      <c r="K715">
        <v>1414.2</v>
      </c>
      <c r="L715" t="s">
        <v>17</v>
      </c>
    </row>
    <row r="716" spans="1:12" x14ac:dyDescent="0.3">
      <c r="A716">
        <v>61</v>
      </c>
      <c r="B716" t="s">
        <v>158</v>
      </c>
      <c r="C716" t="s">
        <v>159</v>
      </c>
      <c r="D716" t="s">
        <v>42</v>
      </c>
      <c r="E716" t="s">
        <v>62</v>
      </c>
      <c r="F716" t="s">
        <v>34</v>
      </c>
      <c r="G716" s="1">
        <v>45839</v>
      </c>
      <c r="H716">
        <v>310</v>
      </c>
      <c r="I716">
        <v>10</v>
      </c>
      <c r="J716">
        <v>0.92</v>
      </c>
      <c r="K716">
        <v>1563</v>
      </c>
      <c r="L716" t="s">
        <v>18</v>
      </c>
    </row>
    <row r="717" spans="1:12" x14ac:dyDescent="0.3">
      <c r="A717">
        <v>61</v>
      </c>
      <c r="B717" t="s">
        <v>158</v>
      </c>
      <c r="C717" t="s">
        <v>159</v>
      </c>
      <c r="D717" t="s">
        <v>42</v>
      </c>
      <c r="E717" t="s">
        <v>62</v>
      </c>
      <c r="F717" t="s">
        <v>34</v>
      </c>
      <c r="G717" s="1">
        <v>45870</v>
      </c>
      <c r="H717">
        <v>384</v>
      </c>
      <c r="I717">
        <v>7</v>
      </c>
      <c r="J717">
        <v>0.91</v>
      </c>
      <c r="K717">
        <v>1918.2</v>
      </c>
      <c r="L717" t="s">
        <v>17</v>
      </c>
    </row>
    <row r="718" spans="1:12" x14ac:dyDescent="0.3">
      <c r="A718">
        <v>61</v>
      </c>
      <c r="B718" t="s">
        <v>158</v>
      </c>
      <c r="C718" t="s">
        <v>159</v>
      </c>
      <c r="D718" t="s">
        <v>42</v>
      </c>
      <c r="E718" t="s">
        <v>62</v>
      </c>
      <c r="F718" t="s">
        <v>34</v>
      </c>
      <c r="G718" s="1">
        <v>45901</v>
      </c>
      <c r="H718">
        <v>169</v>
      </c>
      <c r="I718">
        <v>5</v>
      </c>
      <c r="J718">
        <v>0.85</v>
      </c>
      <c r="K718">
        <v>886.2</v>
      </c>
      <c r="L718" t="s">
        <v>18</v>
      </c>
    </row>
    <row r="719" spans="1:12" x14ac:dyDescent="0.3">
      <c r="A719">
        <v>61</v>
      </c>
      <c r="B719" t="s">
        <v>158</v>
      </c>
      <c r="C719" t="s">
        <v>159</v>
      </c>
      <c r="D719" t="s">
        <v>42</v>
      </c>
      <c r="E719" t="s">
        <v>62</v>
      </c>
      <c r="F719" t="s">
        <v>34</v>
      </c>
      <c r="G719" s="1">
        <v>45931</v>
      </c>
      <c r="H719">
        <v>381</v>
      </c>
      <c r="I719">
        <v>3</v>
      </c>
      <c r="J719">
        <v>0.92</v>
      </c>
      <c r="K719">
        <v>1903.8</v>
      </c>
      <c r="L719" t="s">
        <v>18</v>
      </c>
    </row>
    <row r="720" spans="1:12" x14ac:dyDescent="0.3">
      <c r="A720">
        <v>61</v>
      </c>
      <c r="B720" t="s">
        <v>158</v>
      </c>
      <c r="C720" t="s">
        <v>159</v>
      </c>
      <c r="D720" t="s">
        <v>42</v>
      </c>
      <c r="E720" t="s">
        <v>62</v>
      </c>
      <c r="F720" t="s">
        <v>34</v>
      </c>
      <c r="G720" s="1">
        <v>45962</v>
      </c>
      <c r="H720">
        <v>373</v>
      </c>
      <c r="I720">
        <v>8</v>
      </c>
      <c r="J720">
        <v>0.92</v>
      </c>
      <c r="K720">
        <v>1865.4</v>
      </c>
      <c r="L720" t="s">
        <v>17</v>
      </c>
    </row>
    <row r="721" spans="1:12" x14ac:dyDescent="0.3">
      <c r="A721">
        <v>61</v>
      </c>
      <c r="B721" t="s">
        <v>158</v>
      </c>
      <c r="C721" t="s">
        <v>159</v>
      </c>
      <c r="D721" t="s">
        <v>42</v>
      </c>
      <c r="E721" t="s">
        <v>62</v>
      </c>
      <c r="F721" t="s">
        <v>34</v>
      </c>
      <c r="G721" s="1">
        <v>45992</v>
      </c>
      <c r="H721">
        <v>171</v>
      </c>
      <c r="I721">
        <v>10</v>
      </c>
      <c r="J721">
        <v>0.93</v>
      </c>
      <c r="K721">
        <v>895.8</v>
      </c>
      <c r="L721" t="s">
        <v>18</v>
      </c>
    </row>
    <row r="722" spans="1:12" x14ac:dyDescent="0.3">
      <c r="A722">
        <v>62</v>
      </c>
      <c r="B722" t="s">
        <v>160</v>
      </c>
      <c r="C722" t="s">
        <v>161</v>
      </c>
      <c r="D722" t="s">
        <v>14</v>
      </c>
      <c r="E722" t="s">
        <v>65</v>
      </c>
      <c r="F722" t="s">
        <v>66</v>
      </c>
      <c r="G722" s="1">
        <v>45658</v>
      </c>
      <c r="H722">
        <v>150</v>
      </c>
      <c r="I722">
        <v>8</v>
      </c>
      <c r="J722">
        <v>0.92</v>
      </c>
      <c r="K722">
        <v>1075</v>
      </c>
      <c r="L722" t="s">
        <v>18</v>
      </c>
    </row>
    <row r="723" spans="1:12" x14ac:dyDescent="0.3">
      <c r="A723">
        <v>62</v>
      </c>
      <c r="B723" t="s">
        <v>160</v>
      </c>
      <c r="C723" t="s">
        <v>161</v>
      </c>
      <c r="D723" t="s">
        <v>14</v>
      </c>
      <c r="E723" t="s">
        <v>65</v>
      </c>
      <c r="F723" t="s">
        <v>66</v>
      </c>
      <c r="G723" s="1">
        <v>45689</v>
      </c>
      <c r="H723">
        <v>157</v>
      </c>
      <c r="I723">
        <v>9</v>
      </c>
      <c r="J723">
        <v>0.89</v>
      </c>
      <c r="K723">
        <v>1120.5</v>
      </c>
      <c r="L723" t="s">
        <v>18</v>
      </c>
    </row>
    <row r="724" spans="1:12" x14ac:dyDescent="0.3">
      <c r="A724">
        <v>62</v>
      </c>
      <c r="B724" t="s">
        <v>160</v>
      </c>
      <c r="C724" t="s">
        <v>161</v>
      </c>
      <c r="D724" t="s">
        <v>14</v>
      </c>
      <c r="E724" t="s">
        <v>65</v>
      </c>
      <c r="F724" t="s">
        <v>66</v>
      </c>
      <c r="G724" s="1">
        <v>45717</v>
      </c>
      <c r="H724">
        <v>259</v>
      </c>
      <c r="I724">
        <v>9</v>
      </c>
      <c r="J724">
        <v>0.96</v>
      </c>
      <c r="K724">
        <v>1783.5</v>
      </c>
      <c r="L724" t="s">
        <v>18</v>
      </c>
    </row>
    <row r="725" spans="1:12" x14ac:dyDescent="0.3">
      <c r="A725">
        <v>62</v>
      </c>
      <c r="B725" t="s">
        <v>160</v>
      </c>
      <c r="C725" t="s">
        <v>161</v>
      </c>
      <c r="D725" t="s">
        <v>14</v>
      </c>
      <c r="E725" t="s">
        <v>65</v>
      </c>
      <c r="F725" t="s">
        <v>66</v>
      </c>
      <c r="G725" s="1">
        <v>45748</v>
      </c>
      <c r="H725">
        <v>179</v>
      </c>
      <c r="I725">
        <v>3</v>
      </c>
      <c r="J725">
        <v>0.97</v>
      </c>
      <c r="K725">
        <v>1263.5</v>
      </c>
      <c r="L725" t="s">
        <v>18</v>
      </c>
    </row>
    <row r="726" spans="1:12" x14ac:dyDescent="0.3">
      <c r="A726">
        <v>62</v>
      </c>
      <c r="B726" t="s">
        <v>160</v>
      </c>
      <c r="C726" t="s">
        <v>161</v>
      </c>
      <c r="D726" t="s">
        <v>14</v>
      </c>
      <c r="E726" t="s">
        <v>65</v>
      </c>
      <c r="F726" t="s">
        <v>66</v>
      </c>
      <c r="G726" s="1">
        <v>45778</v>
      </c>
      <c r="H726">
        <v>221</v>
      </c>
      <c r="I726">
        <v>3</v>
      </c>
      <c r="J726">
        <v>0.85</v>
      </c>
      <c r="K726">
        <v>1536.5</v>
      </c>
      <c r="L726" t="s">
        <v>18</v>
      </c>
    </row>
    <row r="727" spans="1:12" x14ac:dyDescent="0.3">
      <c r="A727">
        <v>62</v>
      </c>
      <c r="B727" t="s">
        <v>160</v>
      </c>
      <c r="C727" t="s">
        <v>161</v>
      </c>
      <c r="D727" t="s">
        <v>14</v>
      </c>
      <c r="E727" t="s">
        <v>65</v>
      </c>
      <c r="F727" t="s">
        <v>66</v>
      </c>
      <c r="G727" s="1">
        <v>45809</v>
      </c>
      <c r="H727">
        <v>352</v>
      </c>
      <c r="I727">
        <v>4</v>
      </c>
      <c r="J727">
        <v>0.87</v>
      </c>
      <c r="K727">
        <v>2388</v>
      </c>
      <c r="L727" t="s">
        <v>17</v>
      </c>
    </row>
    <row r="728" spans="1:12" x14ac:dyDescent="0.3">
      <c r="A728">
        <v>62</v>
      </c>
      <c r="B728" t="s">
        <v>160</v>
      </c>
      <c r="C728" t="s">
        <v>161</v>
      </c>
      <c r="D728" t="s">
        <v>14</v>
      </c>
      <c r="E728" t="s">
        <v>65</v>
      </c>
      <c r="F728" t="s">
        <v>66</v>
      </c>
      <c r="G728" s="1">
        <v>45839</v>
      </c>
      <c r="H728">
        <v>161</v>
      </c>
      <c r="I728">
        <v>3</v>
      </c>
      <c r="J728">
        <v>0.86</v>
      </c>
      <c r="K728">
        <v>1146.5</v>
      </c>
      <c r="L728" t="s">
        <v>18</v>
      </c>
    </row>
    <row r="729" spans="1:12" x14ac:dyDescent="0.3">
      <c r="A729">
        <v>62</v>
      </c>
      <c r="B729" t="s">
        <v>160</v>
      </c>
      <c r="C729" t="s">
        <v>161</v>
      </c>
      <c r="D729" t="s">
        <v>14</v>
      </c>
      <c r="E729" t="s">
        <v>65</v>
      </c>
      <c r="F729" t="s">
        <v>66</v>
      </c>
      <c r="G729" s="1">
        <v>45870</v>
      </c>
      <c r="H729">
        <v>316</v>
      </c>
      <c r="I729">
        <v>7</v>
      </c>
      <c r="J729">
        <v>0.96</v>
      </c>
      <c r="K729">
        <v>2154</v>
      </c>
      <c r="L729" t="s">
        <v>18</v>
      </c>
    </row>
    <row r="730" spans="1:12" x14ac:dyDescent="0.3">
      <c r="A730">
        <v>62</v>
      </c>
      <c r="B730" t="s">
        <v>160</v>
      </c>
      <c r="C730" t="s">
        <v>161</v>
      </c>
      <c r="D730" t="s">
        <v>14</v>
      </c>
      <c r="E730" t="s">
        <v>65</v>
      </c>
      <c r="F730" t="s">
        <v>66</v>
      </c>
      <c r="G730" s="1">
        <v>45901</v>
      </c>
      <c r="H730">
        <v>242</v>
      </c>
      <c r="I730">
        <v>3</v>
      </c>
      <c r="J730">
        <v>0.9</v>
      </c>
      <c r="K730">
        <v>1673</v>
      </c>
      <c r="L730" t="s">
        <v>18</v>
      </c>
    </row>
    <row r="731" spans="1:12" x14ac:dyDescent="0.3">
      <c r="A731">
        <v>62</v>
      </c>
      <c r="B731" t="s">
        <v>160</v>
      </c>
      <c r="C731" t="s">
        <v>161</v>
      </c>
      <c r="D731" t="s">
        <v>14</v>
      </c>
      <c r="E731" t="s">
        <v>65</v>
      </c>
      <c r="F731" t="s">
        <v>66</v>
      </c>
      <c r="G731" s="1">
        <v>45931</v>
      </c>
      <c r="H731">
        <v>267</v>
      </c>
      <c r="I731">
        <v>6</v>
      </c>
      <c r="J731">
        <v>0.92</v>
      </c>
      <c r="K731">
        <v>1835.5</v>
      </c>
      <c r="L731" t="s">
        <v>18</v>
      </c>
    </row>
    <row r="732" spans="1:12" x14ac:dyDescent="0.3">
      <c r="A732">
        <v>62</v>
      </c>
      <c r="B732" t="s">
        <v>160</v>
      </c>
      <c r="C732" t="s">
        <v>161</v>
      </c>
      <c r="D732" t="s">
        <v>14</v>
      </c>
      <c r="E732" t="s">
        <v>65</v>
      </c>
      <c r="F732" t="s">
        <v>66</v>
      </c>
      <c r="G732" s="1">
        <v>45962</v>
      </c>
      <c r="H732">
        <v>190</v>
      </c>
      <c r="I732">
        <v>8</v>
      </c>
      <c r="J732">
        <v>0.86</v>
      </c>
      <c r="K732">
        <v>1335</v>
      </c>
      <c r="L732" t="s">
        <v>18</v>
      </c>
    </row>
    <row r="733" spans="1:12" x14ac:dyDescent="0.3">
      <c r="A733">
        <v>62</v>
      </c>
      <c r="B733" t="s">
        <v>160</v>
      </c>
      <c r="C733" t="s">
        <v>161</v>
      </c>
      <c r="D733" t="s">
        <v>14</v>
      </c>
      <c r="E733" t="s">
        <v>65</v>
      </c>
      <c r="F733" t="s">
        <v>66</v>
      </c>
      <c r="G733" s="1">
        <v>45992</v>
      </c>
      <c r="H733">
        <v>212</v>
      </c>
      <c r="I733">
        <v>2</v>
      </c>
      <c r="J733">
        <v>0.87</v>
      </c>
      <c r="K733">
        <v>1478</v>
      </c>
      <c r="L733" t="s">
        <v>18</v>
      </c>
    </row>
    <row r="734" spans="1:12" x14ac:dyDescent="0.3">
      <c r="A734">
        <v>63</v>
      </c>
      <c r="B734" t="s">
        <v>162</v>
      </c>
      <c r="C734" t="s">
        <v>163</v>
      </c>
      <c r="D734" t="s">
        <v>24</v>
      </c>
      <c r="E734" t="s">
        <v>69</v>
      </c>
      <c r="F734" t="s">
        <v>66</v>
      </c>
      <c r="G734" s="1">
        <v>45658</v>
      </c>
      <c r="H734">
        <v>330</v>
      </c>
      <c r="I734">
        <v>8</v>
      </c>
      <c r="J734">
        <v>0.89</v>
      </c>
      <c r="K734">
        <v>2956</v>
      </c>
      <c r="L734" t="s">
        <v>18</v>
      </c>
    </row>
    <row r="735" spans="1:12" x14ac:dyDescent="0.3">
      <c r="A735">
        <v>63</v>
      </c>
      <c r="B735" t="s">
        <v>162</v>
      </c>
      <c r="C735" t="s">
        <v>163</v>
      </c>
      <c r="D735" t="s">
        <v>24</v>
      </c>
      <c r="E735" t="s">
        <v>69</v>
      </c>
      <c r="F735" t="s">
        <v>66</v>
      </c>
      <c r="G735" s="1">
        <v>45689</v>
      </c>
      <c r="H735">
        <v>184</v>
      </c>
      <c r="I735">
        <v>6</v>
      </c>
      <c r="J735">
        <v>0.99</v>
      </c>
      <c r="K735">
        <v>1758.8</v>
      </c>
      <c r="L735" t="s">
        <v>18</v>
      </c>
    </row>
    <row r="736" spans="1:12" x14ac:dyDescent="0.3">
      <c r="A736">
        <v>63</v>
      </c>
      <c r="B736" t="s">
        <v>162</v>
      </c>
      <c r="C736" t="s">
        <v>163</v>
      </c>
      <c r="D736" t="s">
        <v>24</v>
      </c>
      <c r="E736" t="s">
        <v>69</v>
      </c>
      <c r="F736" t="s">
        <v>66</v>
      </c>
      <c r="G736" s="1">
        <v>45717</v>
      </c>
      <c r="H736">
        <v>360</v>
      </c>
      <c r="I736">
        <v>2</v>
      </c>
      <c r="J736">
        <v>0.85</v>
      </c>
      <c r="K736">
        <v>3202</v>
      </c>
      <c r="L736" t="s">
        <v>17</v>
      </c>
    </row>
    <row r="737" spans="1:12" x14ac:dyDescent="0.3">
      <c r="A737">
        <v>63</v>
      </c>
      <c r="B737" t="s">
        <v>162</v>
      </c>
      <c r="C737" t="s">
        <v>163</v>
      </c>
      <c r="D737" t="s">
        <v>24</v>
      </c>
      <c r="E737" t="s">
        <v>69</v>
      </c>
      <c r="F737" t="s">
        <v>66</v>
      </c>
      <c r="G737" s="1">
        <v>45748</v>
      </c>
      <c r="H737">
        <v>198</v>
      </c>
      <c r="I737">
        <v>4</v>
      </c>
      <c r="J737">
        <v>0.9</v>
      </c>
      <c r="K737">
        <v>1873.6</v>
      </c>
      <c r="L737" t="s">
        <v>18</v>
      </c>
    </row>
    <row r="738" spans="1:12" x14ac:dyDescent="0.3">
      <c r="A738">
        <v>63</v>
      </c>
      <c r="B738" t="s">
        <v>162</v>
      </c>
      <c r="C738" t="s">
        <v>163</v>
      </c>
      <c r="D738" t="s">
        <v>24</v>
      </c>
      <c r="E738" t="s">
        <v>69</v>
      </c>
      <c r="F738" t="s">
        <v>66</v>
      </c>
      <c r="G738" s="1">
        <v>45778</v>
      </c>
      <c r="H738">
        <v>164</v>
      </c>
      <c r="I738">
        <v>5</v>
      </c>
      <c r="J738">
        <v>0.91</v>
      </c>
      <c r="K738">
        <v>1594.8</v>
      </c>
      <c r="L738" t="s">
        <v>18</v>
      </c>
    </row>
    <row r="739" spans="1:12" x14ac:dyDescent="0.3">
      <c r="A739">
        <v>63</v>
      </c>
      <c r="B739" t="s">
        <v>162</v>
      </c>
      <c r="C739" t="s">
        <v>163</v>
      </c>
      <c r="D739" t="s">
        <v>24</v>
      </c>
      <c r="E739" t="s">
        <v>69</v>
      </c>
      <c r="F739" t="s">
        <v>66</v>
      </c>
      <c r="G739" s="1">
        <v>45809</v>
      </c>
      <c r="H739">
        <v>162</v>
      </c>
      <c r="I739">
        <v>8</v>
      </c>
      <c r="J739">
        <v>0.85</v>
      </c>
      <c r="K739">
        <v>1578.4</v>
      </c>
      <c r="L739" t="s">
        <v>17</v>
      </c>
    </row>
    <row r="740" spans="1:12" x14ac:dyDescent="0.3">
      <c r="A740">
        <v>63</v>
      </c>
      <c r="B740" t="s">
        <v>162</v>
      </c>
      <c r="C740" t="s">
        <v>163</v>
      </c>
      <c r="D740" t="s">
        <v>24</v>
      </c>
      <c r="E740" t="s">
        <v>69</v>
      </c>
      <c r="F740" t="s">
        <v>66</v>
      </c>
      <c r="G740" s="1">
        <v>45839</v>
      </c>
      <c r="H740">
        <v>399</v>
      </c>
      <c r="I740">
        <v>9</v>
      </c>
      <c r="J740">
        <v>0.94</v>
      </c>
      <c r="K740">
        <v>3521.8</v>
      </c>
      <c r="L740" t="s">
        <v>18</v>
      </c>
    </row>
    <row r="741" spans="1:12" x14ac:dyDescent="0.3">
      <c r="A741">
        <v>63</v>
      </c>
      <c r="B741" t="s">
        <v>162</v>
      </c>
      <c r="C741" t="s">
        <v>163</v>
      </c>
      <c r="D741" t="s">
        <v>24</v>
      </c>
      <c r="E741" t="s">
        <v>69</v>
      </c>
      <c r="F741" t="s">
        <v>66</v>
      </c>
      <c r="G741" s="1">
        <v>45870</v>
      </c>
      <c r="H741">
        <v>228</v>
      </c>
      <c r="I741">
        <v>10</v>
      </c>
      <c r="J741">
        <v>0.93</v>
      </c>
      <c r="K741">
        <v>2119.6</v>
      </c>
      <c r="L741" t="s">
        <v>18</v>
      </c>
    </row>
    <row r="742" spans="1:12" x14ac:dyDescent="0.3">
      <c r="A742">
        <v>63</v>
      </c>
      <c r="B742" t="s">
        <v>162</v>
      </c>
      <c r="C742" t="s">
        <v>163</v>
      </c>
      <c r="D742" t="s">
        <v>24</v>
      </c>
      <c r="E742" t="s">
        <v>69</v>
      </c>
      <c r="F742" t="s">
        <v>66</v>
      </c>
      <c r="G742" s="1">
        <v>45901</v>
      </c>
      <c r="H742">
        <v>271</v>
      </c>
      <c r="I742">
        <v>10</v>
      </c>
      <c r="J742">
        <v>0.93</v>
      </c>
      <c r="K742">
        <v>2472.1999999999998</v>
      </c>
      <c r="L742" t="s">
        <v>17</v>
      </c>
    </row>
    <row r="743" spans="1:12" x14ac:dyDescent="0.3">
      <c r="A743">
        <v>63</v>
      </c>
      <c r="B743" t="s">
        <v>162</v>
      </c>
      <c r="C743" t="s">
        <v>163</v>
      </c>
      <c r="D743" t="s">
        <v>24</v>
      </c>
      <c r="E743" t="s">
        <v>69</v>
      </c>
      <c r="F743" t="s">
        <v>66</v>
      </c>
      <c r="G743" s="1">
        <v>45931</v>
      </c>
      <c r="H743">
        <v>302</v>
      </c>
      <c r="I743">
        <v>5</v>
      </c>
      <c r="J743">
        <v>0.91</v>
      </c>
      <c r="K743">
        <v>2726.4</v>
      </c>
      <c r="L743" t="s">
        <v>18</v>
      </c>
    </row>
    <row r="744" spans="1:12" x14ac:dyDescent="0.3">
      <c r="A744">
        <v>63</v>
      </c>
      <c r="B744" t="s">
        <v>162</v>
      </c>
      <c r="C744" t="s">
        <v>163</v>
      </c>
      <c r="D744" t="s">
        <v>24</v>
      </c>
      <c r="E744" t="s">
        <v>69</v>
      </c>
      <c r="F744" t="s">
        <v>66</v>
      </c>
      <c r="G744" s="1">
        <v>45962</v>
      </c>
      <c r="H744">
        <v>172</v>
      </c>
      <c r="I744">
        <v>10</v>
      </c>
      <c r="J744">
        <v>0.89</v>
      </c>
      <c r="K744">
        <v>1660.4</v>
      </c>
      <c r="L744" t="s">
        <v>18</v>
      </c>
    </row>
    <row r="745" spans="1:12" x14ac:dyDescent="0.3">
      <c r="A745">
        <v>63</v>
      </c>
      <c r="B745" t="s">
        <v>162</v>
      </c>
      <c r="C745" t="s">
        <v>163</v>
      </c>
      <c r="D745" t="s">
        <v>24</v>
      </c>
      <c r="E745" t="s">
        <v>69</v>
      </c>
      <c r="F745" t="s">
        <v>66</v>
      </c>
      <c r="G745" s="1">
        <v>45992</v>
      </c>
      <c r="H745">
        <v>266</v>
      </c>
      <c r="I745">
        <v>7</v>
      </c>
      <c r="J745">
        <v>0.96</v>
      </c>
      <c r="K745">
        <v>2431.1999999999998</v>
      </c>
      <c r="L745" t="s">
        <v>18</v>
      </c>
    </row>
    <row r="746" spans="1:12" x14ac:dyDescent="0.3">
      <c r="A746">
        <v>64</v>
      </c>
      <c r="B746" t="s">
        <v>164</v>
      </c>
      <c r="C746" t="s">
        <v>165</v>
      </c>
      <c r="D746" t="s">
        <v>32</v>
      </c>
      <c r="E746" t="s">
        <v>72</v>
      </c>
      <c r="F746" t="s">
        <v>73</v>
      </c>
      <c r="G746" s="1">
        <v>45658</v>
      </c>
      <c r="H746">
        <v>252</v>
      </c>
      <c r="I746">
        <v>6</v>
      </c>
      <c r="J746">
        <v>0.92</v>
      </c>
      <c r="K746">
        <v>3146</v>
      </c>
      <c r="L746" t="s">
        <v>18</v>
      </c>
    </row>
    <row r="747" spans="1:12" x14ac:dyDescent="0.3">
      <c r="A747">
        <v>64</v>
      </c>
      <c r="B747" t="s">
        <v>164</v>
      </c>
      <c r="C747" t="s">
        <v>165</v>
      </c>
      <c r="D747" t="s">
        <v>32</v>
      </c>
      <c r="E747" t="s">
        <v>72</v>
      </c>
      <c r="F747" t="s">
        <v>73</v>
      </c>
      <c r="G747" s="1">
        <v>45689</v>
      </c>
      <c r="H747">
        <v>180</v>
      </c>
      <c r="I747">
        <v>5</v>
      </c>
      <c r="J747">
        <v>0.9</v>
      </c>
      <c r="K747">
        <v>2390</v>
      </c>
      <c r="L747" t="s">
        <v>18</v>
      </c>
    </row>
    <row r="748" spans="1:12" x14ac:dyDescent="0.3">
      <c r="A748">
        <v>64</v>
      </c>
      <c r="B748" t="s">
        <v>164</v>
      </c>
      <c r="C748" t="s">
        <v>165</v>
      </c>
      <c r="D748" t="s">
        <v>32</v>
      </c>
      <c r="E748" t="s">
        <v>72</v>
      </c>
      <c r="F748" t="s">
        <v>73</v>
      </c>
      <c r="G748" s="1">
        <v>45717</v>
      </c>
      <c r="H748">
        <v>233</v>
      </c>
      <c r="I748">
        <v>5</v>
      </c>
      <c r="J748">
        <v>0.86</v>
      </c>
      <c r="K748">
        <v>2946.5</v>
      </c>
      <c r="L748" t="s">
        <v>18</v>
      </c>
    </row>
    <row r="749" spans="1:12" x14ac:dyDescent="0.3">
      <c r="A749">
        <v>64</v>
      </c>
      <c r="B749" t="s">
        <v>164</v>
      </c>
      <c r="C749" t="s">
        <v>165</v>
      </c>
      <c r="D749" t="s">
        <v>32</v>
      </c>
      <c r="E749" t="s">
        <v>72</v>
      </c>
      <c r="F749" t="s">
        <v>73</v>
      </c>
      <c r="G749" s="1">
        <v>45748</v>
      </c>
      <c r="H749">
        <v>262</v>
      </c>
      <c r="I749">
        <v>6</v>
      </c>
      <c r="J749">
        <v>0.94</v>
      </c>
      <c r="K749">
        <v>3251</v>
      </c>
      <c r="L749" t="s">
        <v>18</v>
      </c>
    </row>
    <row r="750" spans="1:12" x14ac:dyDescent="0.3">
      <c r="A750">
        <v>64</v>
      </c>
      <c r="B750" t="s">
        <v>164</v>
      </c>
      <c r="C750" t="s">
        <v>165</v>
      </c>
      <c r="D750" t="s">
        <v>32</v>
      </c>
      <c r="E750" t="s">
        <v>72</v>
      </c>
      <c r="F750" t="s">
        <v>73</v>
      </c>
      <c r="G750" s="1">
        <v>45778</v>
      </c>
      <c r="H750">
        <v>221</v>
      </c>
      <c r="I750">
        <v>6</v>
      </c>
      <c r="J750">
        <v>0.85</v>
      </c>
      <c r="K750">
        <v>2820.5</v>
      </c>
      <c r="L750" t="s">
        <v>18</v>
      </c>
    </row>
    <row r="751" spans="1:12" x14ac:dyDescent="0.3">
      <c r="A751">
        <v>64</v>
      </c>
      <c r="B751" t="s">
        <v>164</v>
      </c>
      <c r="C751" t="s">
        <v>165</v>
      </c>
      <c r="D751" t="s">
        <v>32</v>
      </c>
      <c r="E751" t="s">
        <v>72</v>
      </c>
      <c r="F751" t="s">
        <v>73</v>
      </c>
      <c r="G751" s="1">
        <v>45809</v>
      </c>
      <c r="H751">
        <v>203</v>
      </c>
      <c r="I751">
        <v>6</v>
      </c>
      <c r="J751">
        <v>0.87</v>
      </c>
      <c r="K751">
        <v>2631.5</v>
      </c>
      <c r="L751" t="s">
        <v>18</v>
      </c>
    </row>
    <row r="752" spans="1:12" x14ac:dyDescent="0.3">
      <c r="A752">
        <v>64</v>
      </c>
      <c r="B752" t="s">
        <v>164</v>
      </c>
      <c r="C752" t="s">
        <v>165</v>
      </c>
      <c r="D752" t="s">
        <v>32</v>
      </c>
      <c r="E752" t="s">
        <v>72</v>
      </c>
      <c r="F752" t="s">
        <v>73</v>
      </c>
      <c r="G752" s="1">
        <v>45839</v>
      </c>
      <c r="H752">
        <v>260</v>
      </c>
      <c r="I752">
        <v>4</v>
      </c>
      <c r="J752">
        <v>0.91</v>
      </c>
      <c r="K752">
        <v>3230</v>
      </c>
      <c r="L752" t="s">
        <v>18</v>
      </c>
    </row>
    <row r="753" spans="1:12" x14ac:dyDescent="0.3">
      <c r="A753">
        <v>64</v>
      </c>
      <c r="B753" t="s">
        <v>164</v>
      </c>
      <c r="C753" t="s">
        <v>165</v>
      </c>
      <c r="D753" t="s">
        <v>32</v>
      </c>
      <c r="E753" t="s">
        <v>72</v>
      </c>
      <c r="F753" t="s">
        <v>73</v>
      </c>
      <c r="G753" s="1">
        <v>45870</v>
      </c>
      <c r="H753">
        <v>324</v>
      </c>
      <c r="I753">
        <v>4</v>
      </c>
      <c r="J753">
        <v>0.89</v>
      </c>
      <c r="K753">
        <v>3902</v>
      </c>
      <c r="L753" t="s">
        <v>18</v>
      </c>
    </row>
    <row r="754" spans="1:12" x14ac:dyDescent="0.3">
      <c r="A754">
        <v>64</v>
      </c>
      <c r="B754" t="s">
        <v>164</v>
      </c>
      <c r="C754" t="s">
        <v>165</v>
      </c>
      <c r="D754" t="s">
        <v>32</v>
      </c>
      <c r="E754" t="s">
        <v>72</v>
      </c>
      <c r="F754" t="s">
        <v>73</v>
      </c>
      <c r="G754" s="1">
        <v>45901</v>
      </c>
      <c r="H754">
        <v>221</v>
      </c>
      <c r="I754">
        <v>9</v>
      </c>
      <c r="J754">
        <v>0.86</v>
      </c>
      <c r="K754">
        <v>2820.5</v>
      </c>
      <c r="L754" t="s">
        <v>18</v>
      </c>
    </row>
    <row r="755" spans="1:12" x14ac:dyDescent="0.3">
      <c r="A755">
        <v>64</v>
      </c>
      <c r="B755" t="s">
        <v>164</v>
      </c>
      <c r="C755" t="s">
        <v>165</v>
      </c>
      <c r="D755" t="s">
        <v>32</v>
      </c>
      <c r="E755" t="s">
        <v>72</v>
      </c>
      <c r="F755" t="s">
        <v>73</v>
      </c>
      <c r="G755" s="1">
        <v>45931</v>
      </c>
      <c r="H755">
        <v>273</v>
      </c>
      <c r="I755">
        <v>2</v>
      </c>
      <c r="J755">
        <v>0.97</v>
      </c>
      <c r="K755">
        <v>3366.5</v>
      </c>
      <c r="L755" t="s">
        <v>18</v>
      </c>
    </row>
    <row r="756" spans="1:12" x14ac:dyDescent="0.3">
      <c r="A756">
        <v>64</v>
      </c>
      <c r="B756" t="s">
        <v>164</v>
      </c>
      <c r="C756" t="s">
        <v>165</v>
      </c>
      <c r="D756" t="s">
        <v>32</v>
      </c>
      <c r="E756" t="s">
        <v>72</v>
      </c>
      <c r="F756" t="s">
        <v>73</v>
      </c>
      <c r="G756" s="1">
        <v>45962</v>
      </c>
      <c r="H756">
        <v>223</v>
      </c>
      <c r="I756">
        <v>6</v>
      </c>
      <c r="J756">
        <v>0.87</v>
      </c>
      <c r="K756">
        <v>2841.5</v>
      </c>
      <c r="L756" t="s">
        <v>18</v>
      </c>
    </row>
    <row r="757" spans="1:12" x14ac:dyDescent="0.3">
      <c r="A757">
        <v>64</v>
      </c>
      <c r="B757" t="s">
        <v>164</v>
      </c>
      <c r="C757" t="s">
        <v>165</v>
      </c>
      <c r="D757" t="s">
        <v>32</v>
      </c>
      <c r="E757" t="s">
        <v>72</v>
      </c>
      <c r="F757" t="s">
        <v>73</v>
      </c>
      <c r="G757" s="1">
        <v>45992</v>
      </c>
      <c r="H757">
        <v>340</v>
      </c>
      <c r="I757">
        <v>6</v>
      </c>
      <c r="J757">
        <v>0.96</v>
      </c>
      <c r="K757">
        <v>4070</v>
      </c>
      <c r="L757" t="s">
        <v>18</v>
      </c>
    </row>
    <row r="758" spans="1:12" x14ac:dyDescent="0.3">
      <c r="A758">
        <v>65</v>
      </c>
      <c r="B758" t="s">
        <v>166</v>
      </c>
      <c r="C758" t="s">
        <v>167</v>
      </c>
      <c r="D758" t="s">
        <v>42</v>
      </c>
      <c r="E758" t="s">
        <v>76</v>
      </c>
      <c r="F758" t="s">
        <v>77</v>
      </c>
      <c r="G758" s="1">
        <v>45658</v>
      </c>
      <c r="H758">
        <v>333</v>
      </c>
      <c r="I758">
        <v>5</v>
      </c>
      <c r="J758">
        <v>0.98</v>
      </c>
      <c r="K758">
        <v>1673.4</v>
      </c>
      <c r="L758" t="s">
        <v>17</v>
      </c>
    </row>
    <row r="759" spans="1:12" x14ac:dyDescent="0.3">
      <c r="A759">
        <v>65</v>
      </c>
      <c r="B759" t="s">
        <v>166</v>
      </c>
      <c r="C759" t="s">
        <v>167</v>
      </c>
      <c r="D759" t="s">
        <v>42</v>
      </c>
      <c r="E759" t="s">
        <v>76</v>
      </c>
      <c r="F759" t="s">
        <v>77</v>
      </c>
      <c r="G759" s="1">
        <v>45689</v>
      </c>
      <c r="H759">
        <v>323</v>
      </c>
      <c r="I759">
        <v>2</v>
      </c>
      <c r="J759">
        <v>0.93</v>
      </c>
      <c r="K759">
        <v>1625.4</v>
      </c>
      <c r="L759" t="s">
        <v>18</v>
      </c>
    </row>
    <row r="760" spans="1:12" x14ac:dyDescent="0.3">
      <c r="A760">
        <v>65</v>
      </c>
      <c r="B760" t="s">
        <v>166</v>
      </c>
      <c r="C760" t="s">
        <v>167</v>
      </c>
      <c r="D760" t="s">
        <v>42</v>
      </c>
      <c r="E760" t="s">
        <v>76</v>
      </c>
      <c r="F760" t="s">
        <v>77</v>
      </c>
      <c r="G760" s="1">
        <v>45717</v>
      </c>
      <c r="H760">
        <v>215</v>
      </c>
      <c r="I760">
        <v>2</v>
      </c>
      <c r="J760">
        <v>0.94</v>
      </c>
      <c r="K760">
        <v>1107</v>
      </c>
      <c r="L760" t="s">
        <v>18</v>
      </c>
    </row>
    <row r="761" spans="1:12" x14ac:dyDescent="0.3">
      <c r="A761">
        <v>65</v>
      </c>
      <c r="B761" t="s">
        <v>166</v>
      </c>
      <c r="C761" t="s">
        <v>167</v>
      </c>
      <c r="D761" t="s">
        <v>42</v>
      </c>
      <c r="E761" t="s">
        <v>76</v>
      </c>
      <c r="F761" t="s">
        <v>77</v>
      </c>
      <c r="G761" s="1">
        <v>45748</v>
      </c>
      <c r="H761">
        <v>348</v>
      </c>
      <c r="I761">
        <v>9</v>
      </c>
      <c r="J761">
        <v>0.88</v>
      </c>
      <c r="K761">
        <v>1745.4</v>
      </c>
      <c r="L761" t="s">
        <v>17</v>
      </c>
    </row>
    <row r="762" spans="1:12" x14ac:dyDescent="0.3">
      <c r="A762">
        <v>65</v>
      </c>
      <c r="B762" t="s">
        <v>166</v>
      </c>
      <c r="C762" t="s">
        <v>167</v>
      </c>
      <c r="D762" t="s">
        <v>42</v>
      </c>
      <c r="E762" t="s">
        <v>76</v>
      </c>
      <c r="F762" t="s">
        <v>77</v>
      </c>
      <c r="G762" s="1">
        <v>45778</v>
      </c>
      <c r="H762">
        <v>291</v>
      </c>
      <c r="I762">
        <v>9</v>
      </c>
      <c r="J762">
        <v>0.85</v>
      </c>
      <c r="K762">
        <v>1471.8</v>
      </c>
      <c r="L762" t="s">
        <v>18</v>
      </c>
    </row>
    <row r="763" spans="1:12" x14ac:dyDescent="0.3">
      <c r="A763">
        <v>65</v>
      </c>
      <c r="B763" t="s">
        <v>166</v>
      </c>
      <c r="C763" t="s">
        <v>167</v>
      </c>
      <c r="D763" t="s">
        <v>42</v>
      </c>
      <c r="E763" t="s">
        <v>76</v>
      </c>
      <c r="F763" t="s">
        <v>77</v>
      </c>
      <c r="G763" s="1">
        <v>45809</v>
      </c>
      <c r="H763">
        <v>238</v>
      </c>
      <c r="I763">
        <v>6</v>
      </c>
      <c r="J763">
        <v>0.93</v>
      </c>
      <c r="K763">
        <v>1217.4000000000001</v>
      </c>
      <c r="L763" t="s">
        <v>17</v>
      </c>
    </row>
    <row r="764" spans="1:12" x14ac:dyDescent="0.3">
      <c r="A764">
        <v>65</v>
      </c>
      <c r="B764" t="s">
        <v>166</v>
      </c>
      <c r="C764" t="s">
        <v>167</v>
      </c>
      <c r="D764" t="s">
        <v>42</v>
      </c>
      <c r="E764" t="s">
        <v>76</v>
      </c>
      <c r="F764" t="s">
        <v>77</v>
      </c>
      <c r="G764" s="1">
        <v>45839</v>
      </c>
      <c r="H764">
        <v>313</v>
      </c>
      <c r="I764">
        <v>8</v>
      </c>
      <c r="J764">
        <v>0.94</v>
      </c>
      <c r="K764">
        <v>1577.4</v>
      </c>
      <c r="L764" t="s">
        <v>18</v>
      </c>
    </row>
    <row r="765" spans="1:12" x14ac:dyDescent="0.3">
      <c r="A765">
        <v>65</v>
      </c>
      <c r="B765" t="s">
        <v>166</v>
      </c>
      <c r="C765" t="s">
        <v>167</v>
      </c>
      <c r="D765" t="s">
        <v>42</v>
      </c>
      <c r="E765" t="s">
        <v>76</v>
      </c>
      <c r="F765" t="s">
        <v>77</v>
      </c>
      <c r="G765" s="1">
        <v>45870</v>
      </c>
      <c r="H765">
        <v>290</v>
      </c>
      <c r="I765">
        <v>6</v>
      </c>
      <c r="J765">
        <v>0.92</v>
      </c>
      <c r="K765">
        <v>1467</v>
      </c>
      <c r="L765" t="s">
        <v>18</v>
      </c>
    </row>
    <row r="766" spans="1:12" x14ac:dyDescent="0.3">
      <c r="A766">
        <v>65</v>
      </c>
      <c r="B766" t="s">
        <v>166</v>
      </c>
      <c r="C766" t="s">
        <v>167</v>
      </c>
      <c r="D766" t="s">
        <v>42</v>
      </c>
      <c r="E766" t="s">
        <v>76</v>
      </c>
      <c r="F766" t="s">
        <v>77</v>
      </c>
      <c r="G766" s="1">
        <v>45901</v>
      </c>
      <c r="H766">
        <v>224</v>
      </c>
      <c r="I766">
        <v>3</v>
      </c>
      <c r="J766">
        <v>0.86</v>
      </c>
      <c r="K766">
        <v>1150.2</v>
      </c>
      <c r="L766" t="s">
        <v>17</v>
      </c>
    </row>
    <row r="767" spans="1:12" x14ac:dyDescent="0.3">
      <c r="A767">
        <v>65</v>
      </c>
      <c r="B767" t="s">
        <v>166</v>
      </c>
      <c r="C767" t="s">
        <v>167</v>
      </c>
      <c r="D767" t="s">
        <v>42</v>
      </c>
      <c r="E767" t="s">
        <v>76</v>
      </c>
      <c r="F767" t="s">
        <v>77</v>
      </c>
      <c r="G767" s="1">
        <v>45931</v>
      </c>
      <c r="H767">
        <v>392</v>
      </c>
      <c r="I767">
        <v>9</v>
      </c>
      <c r="J767">
        <v>0.93</v>
      </c>
      <c r="K767">
        <v>1956.6</v>
      </c>
      <c r="L767" t="s">
        <v>18</v>
      </c>
    </row>
    <row r="768" spans="1:12" x14ac:dyDescent="0.3">
      <c r="A768">
        <v>65</v>
      </c>
      <c r="B768" t="s">
        <v>166</v>
      </c>
      <c r="C768" t="s">
        <v>167</v>
      </c>
      <c r="D768" t="s">
        <v>42</v>
      </c>
      <c r="E768" t="s">
        <v>76</v>
      </c>
      <c r="F768" t="s">
        <v>77</v>
      </c>
      <c r="G768" s="1">
        <v>45962</v>
      </c>
      <c r="H768">
        <v>359</v>
      </c>
      <c r="I768">
        <v>9</v>
      </c>
      <c r="J768">
        <v>0.88</v>
      </c>
      <c r="K768">
        <v>1798.2</v>
      </c>
      <c r="L768" t="s">
        <v>18</v>
      </c>
    </row>
    <row r="769" spans="1:12" x14ac:dyDescent="0.3">
      <c r="A769">
        <v>65</v>
      </c>
      <c r="B769" t="s">
        <v>166</v>
      </c>
      <c r="C769" t="s">
        <v>167</v>
      </c>
      <c r="D769" t="s">
        <v>42</v>
      </c>
      <c r="E769" t="s">
        <v>76</v>
      </c>
      <c r="F769" t="s">
        <v>77</v>
      </c>
      <c r="G769" s="1">
        <v>45992</v>
      </c>
      <c r="H769">
        <v>159</v>
      </c>
      <c r="I769">
        <v>9</v>
      </c>
      <c r="J769">
        <v>0.97</v>
      </c>
      <c r="K769">
        <v>838.2</v>
      </c>
      <c r="L769" t="s">
        <v>18</v>
      </c>
    </row>
    <row r="770" spans="1:12" x14ac:dyDescent="0.3">
      <c r="A770">
        <v>66</v>
      </c>
      <c r="B770" t="s">
        <v>168</v>
      </c>
      <c r="C770" t="s">
        <v>169</v>
      </c>
      <c r="D770" t="s">
        <v>14</v>
      </c>
      <c r="E770" t="s">
        <v>15</v>
      </c>
      <c r="F770" t="s">
        <v>16</v>
      </c>
      <c r="G770" s="1">
        <v>45658</v>
      </c>
      <c r="H770">
        <v>363</v>
      </c>
      <c r="I770">
        <v>3</v>
      </c>
      <c r="J770">
        <v>0.89</v>
      </c>
      <c r="K770">
        <v>2459.5</v>
      </c>
      <c r="L770" t="s">
        <v>17</v>
      </c>
    </row>
    <row r="771" spans="1:12" x14ac:dyDescent="0.3">
      <c r="A771">
        <v>66</v>
      </c>
      <c r="B771" t="s">
        <v>168</v>
      </c>
      <c r="C771" t="s">
        <v>169</v>
      </c>
      <c r="D771" t="s">
        <v>14</v>
      </c>
      <c r="E771" t="s">
        <v>15</v>
      </c>
      <c r="F771" t="s">
        <v>16</v>
      </c>
      <c r="G771" s="1">
        <v>45689</v>
      </c>
      <c r="H771">
        <v>313</v>
      </c>
      <c r="I771">
        <v>4</v>
      </c>
      <c r="J771">
        <v>0.86</v>
      </c>
      <c r="K771">
        <v>2134.5</v>
      </c>
      <c r="L771" t="s">
        <v>18</v>
      </c>
    </row>
    <row r="772" spans="1:12" x14ac:dyDescent="0.3">
      <c r="A772">
        <v>66</v>
      </c>
      <c r="B772" t="s">
        <v>168</v>
      </c>
      <c r="C772" t="s">
        <v>169</v>
      </c>
      <c r="D772" t="s">
        <v>14</v>
      </c>
      <c r="E772" t="s">
        <v>15</v>
      </c>
      <c r="F772" t="s">
        <v>16</v>
      </c>
      <c r="G772" s="1">
        <v>45717</v>
      </c>
      <c r="H772">
        <v>388</v>
      </c>
      <c r="I772">
        <v>9</v>
      </c>
      <c r="J772">
        <v>0.87</v>
      </c>
      <c r="K772">
        <v>2622</v>
      </c>
      <c r="L772" t="s">
        <v>18</v>
      </c>
    </row>
    <row r="773" spans="1:12" x14ac:dyDescent="0.3">
      <c r="A773">
        <v>66</v>
      </c>
      <c r="B773" t="s">
        <v>168</v>
      </c>
      <c r="C773" t="s">
        <v>169</v>
      </c>
      <c r="D773" t="s">
        <v>14</v>
      </c>
      <c r="E773" t="s">
        <v>15</v>
      </c>
      <c r="F773" t="s">
        <v>16</v>
      </c>
      <c r="G773" s="1">
        <v>45748</v>
      </c>
      <c r="H773">
        <v>216</v>
      </c>
      <c r="I773">
        <v>3</v>
      </c>
      <c r="J773">
        <v>0.89</v>
      </c>
      <c r="K773">
        <v>1504</v>
      </c>
      <c r="L773" t="s">
        <v>18</v>
      </c>
    </row>
    <row r="774" spans="1:12" x14ac:dyDescent="0.3">
      <c r="A774">
        <v>66</v>
      </c>
      <c r="B774" t="s">
        <v>168</v>
      </c>
      <c r="C774" t="s">
        <v>169</v>
      </c>
      <c r="D774" t="s">
        <v>14</v>
      </c>
      <c r="E774" t="s">
        <v>15</v>
      </c>
      <c r="F774" t="s">
        <v>16</v>
      </c>
      <c r="G774" s="1">
        <v>45778</v>
      </c>
      <c r="H774">
        <v>200</v>
      </c>
      <c r="I774">
        <v>6</v>
      </c>
      <c r="J774">
        <v>0.86</v>
      </c>
      <c r="K774">
        <v>1400</v>
      </c>
      <c r="L774" t="s">
        <v>18</v>
      </c>
    </row>
    <row r="775" spans="1:12" x14ac:dyDescent="0.3">
      <c r="A775">
        <v>66</v>
      </c>
      <c r="B775" t="s">
        <v>168</v>
      </c>
      <c r="C775" t="s">
        <v>169</v>
      </c>
      <c r="D775" t="s">
        <v>14</v>
      </c>
      <c r="E775" t="s">
        <v>15</v>
      </c>
      <c r="F775" t="s">
        <v>16</v>
      </c>
      <c r="G775" s="1">
        <v>45809</v>
      </c>
      <c r="H775">
        <v>396</v>
      </c>
      <c r="I775">
        <v>7</v>
      </c>
      <c r="J775">
        <v>0.97</v>
      </c>
      <c r="K775">
        <v>2674</v>
      </c>
      <c r="L775" t="s">
        <v>17</v>
      </c>
    </row>
    <row r="776" spans="1:12" x14ac:dyDescent="0.3">
      <c r="A776">
        <v>66</v>
      </c>
      <c r="B776" t="s">
        <v>168</v>
      </c>
      <c r="C776" t="s">
        <v>169</v>
      </c>
      <c r="D776" t="s">
        <v>14</v>
      </c>
      <c r="E776" t="s">
        <v>15</v>
      </c>
      <c r="F776" t="s">
        <v>16</v>
      </c>
      <c r="G776" s="1">
        <v>45839</v>
      </c>
      <c r="H776">
        <v>376</v>
      </c>
      <c r="I776">
        <v>5</v>
      </c>
      <c r="J776">
        <v>0.97</v>
      </c>
      <c r="K776">
        <v>2544</v>
      </c>
      <c r="L776" t="s">
        <v>17</v>
      </c>
    </row>
    <row r="777" spans="1:12" x14ac:dyDescent="0.3">
      <c r="A777">
        <v>66</v>
      </c>
      <c r="B777" t="s">
        <v>168</v>
      </c>
      <c r="C777" t="s">
        <v>169</v>
      </c>
      <c r="D777" t="s">
        <v>14</v>
      </c>
      <c r="E777" t="s">
        <v>15</v>
      </c>
      <c r="F777" t="s">
        <v>16</v>
      </c>
      <c r="G777" s="1">
        <v>45870</v>
      </c>
      <c r="H777">
        <v>174</v>
      </c>
      <c r="I777">
        <v>4</v>
      </c>
      <c r="J777">
        <v>0.96</v>
      </c>
      <c r="K777">
        <v>1231</v>
      </c>
      <c r="L777" t="s">
        <v>18</v>
      </c>
    </row>
    <row r="778" spans="1:12" x14ac:dyDescent="0.3">
      <c r="A778">
        <v>66</v>
      </c>
      <c r="B778" t="s">
        <v>168</v>
      </c>
      <c r="C778" t="s">
        <v>169</v>
      </c>
      <c r="D778" t="s">
        <v>14</v>
      </c>
      <c r="E778" t="s">
        <v>15</v>
      </c>
      <c r="F778" t="s">
        <v>16</v>
      </c>
      <c r="G778" s="1">
        <v>45901</v>
      </c>
      <c r="H778">
        <v>327</v>
      </c>
      <c r="I778">
        <v>8</v>
      </c>
      <c r="J778">
        <v>0.97</v>
      </c>
      <c r="K778">
        <v>2225.5</v>
      </c>
      <c r="L778" t="s">
        <v>18</v>
      </c>
    </row>
    <row r="779" spans="1:12" x14ac:dyDescent="0.3">
      <c r="A779">
        <v>66</v>
      </c>
      <c r="B779" t="s">
        <v>168</v>
      </c>
      <c r="C779" t="s">
        <v>169</v>
      </c>
      <c r="D779" t="s">
        <v>14</v>
      </c>
      <c r="E779" t="s">
        <v>15</v>
      </c>
      <c r="F779" t="s">
        <v>16</v>
      </c>
      <c r="G779" s="1">
        <v>45931</v>
      </c>
      <c r="H779">
        <v>217</v>
      </c>
      <c r="I779">
        <v>10</v>
      </c>
      <c r="J779">
        <v>0.96</v>
      </c>
      <c r="K779">
        <v>1510.5</v>
      </c>
      <c r="L779" t="s">
        <v>18</v>
      </c>
    </row>
    <row r="780" spans="1:12" x14ac:dyDescent="0.3">
      <c r="A780">
        <v>66</v>
      </c>
      <c r="B780" t="s">
        <v>168</v>
      </c>
      <c r="C780" t="s">
        <v>169</v>
      </c>
      <c r="D780" t="s">
        <v>14</v>
      </c>
      <c r="E780" t="s">
        <v>15</v>
      </c>
      <c r="F780" t="s">
        <v>16</v>
      </c>
      <c r="G780" s="1">
        <v>45962</v>
      </c>
      <c r="H780">
        <v>239</v>
      </c>
      <c r="I780">
        <v>7</v>
      </c>
      <c r="J780">
        <v>0.93</v>
      </c>
      <c r="K780">
        <v>1653.5</v>
      </c>
      <c r="L780" t="s">
        <v>17</v>
      </c>
    </row>
    <row r="781" spans="1:12" x14ac:dyDescent="0.3">
      <c r="A781">
        <v>66</v>
      </c>
      <c r="B781" t="s">
        <v>168</v>
      </c>
      <c r="C781" t="s">
        <v>169</v>
      </c>
      <c r="D781" t="s">
        <v>14</v>
      </c>
      <c r="E781" t="s">
        <v>15</v>
      </c>
      <c r="F781" t="s">
        <v>16</v>
      </c>
      <c r="G781" s="1">
        <v>45992</v>
      </c>
      <c r="H781">
        <v>382</v>
      </c>
      <c r="I781">
        <v>7</v>
      </c>
      <c r="J781">
        <v>0.86</v>
      </c>
      <c r="K781">
        <v>2583</v>
      </c>
      <c r="L781" t="s">
        <v>17</v>
      </c>
    </row>
    <row r="782" spans="1:12" x14ac:dyDescent="0.3">
      <c r="A782">
        <v>67</v>
      </c>
      <c r="B782" t="s">
        <v>170</v>
      </c>
      <c r="C782" t="s">
        <v>171</v>
      </c>
      <c r="D782" t="s">
        <v>24</v>
      </c>
      <c r="E782" t="s">
        <v>21</v>
      </c>
      <c r="F782" t="s">
        <v>16</v>
      </c>
      <c r="G782" s="1">
        <v>45658</v>
      </c>
      <c r="H782">
        <v>330</v>
      </c>
      <c r="I782">
        <v>8</v>
      </c>
      <c r="J782">
        <v>0.89</v>
      </c>
      <c r="K782">
        <v>2956</v>
      </c>
      <c r="L782" t="s">
        <v>18</v>
      </c>
    </row>
    <row r="783" spans="1:12" x14ac:dyDescent="0.3">
      <c r="A783">
        <v>67</v>
      </c>
      <c r="B783" t="s">
        <v>170</v>
      </c>
      <c r="C783" t="s">
        <v>171</v>
      </c>
      <c r="D783" t="s">
        <v>24</v>
      </c>
      <c r="E783" t="s">
        <v>21</v>
      </c>
      <c r="F783" t="s">
        <v>16</v>
      </c>
      <c r="G783" s="1">
        <v>45689</v>
      </c>
      <c r="H783">
        <v>389</v>
      </c>
      <c r="I783">
        <v>2</v>
      </c>
      <c r="J783">
        <v>0.91</v>
      </c>
      <c r="K783">
        <v>3439.8</v>
      </c>
      <c r="L783" t="s">
        <v>18</v>
      </c>
    </row>
    <row r="784" spans="1:12" x14ac:dyDescent="0.3">
      <c r="A784">
        <v>67</v>
      </c>
      <c r="B784" t="s">
        <v>170</v>
      </c>
      <c r="C784" t="s">
        <v>171</v>
      </c>
      <c r="D784" t="s">
        <v>24</v>
      </c>
      <c r="E784" t="s">
        <v>21</v>
      </c>
      <c r="F784" t="s">
        <v>16</v>
      </c>
      <c r="G784" s="1">
        <v>45717</v>
      </c>
      <c r="H784">
        <v>329</v>
      </c>
      <c r="I784">
        <v>5</v>
      </c>
      <c r="J784">
        <v>0.85</v>
      </c>
      <c r="K784">
        <v>2947.8</v>
      </c>
      <c r="L784" t="s">
        <v>18</v>
      </c>
    </row>
    <row r="785" spans="1:12" x14ac:dyDescent="0.3">
      <c r="A785">
        <v>67</v>
      </c>
      <c r="B785" t="s">
        <v>170</v>
      </c>
      <c r="C785" t="s">
        <v>171</v>
      </c>
      <c r="D785" t="s">
        <v>24</v>
      </c>
      <c r="E785" t="s">
        <v>21</v>
      </c>
      <c r="F785" t="s">
        <v>16</v>
      </c>
      <c r="G785" s="1">
        <v>45748</v>
      </c>
      <c r="H785">
        <v>212</v>
      </c>
      <c r="I785">
        <v>4</v>
      </c>
      <c r="J785">
        <v>0.99</v>
      </c>
      <c r="K785">
        <v>1988.4</v>
      </c>
      <c r="L785" t="s">
        <v>18</v>
      </c>
    </row>
    <row r="786" spans="1:12" x14ac:dyDescent="0.3">
      <c r="A786">
        <v>67</v>
      </c>
      <c r="B786" t="s">
        <v>170</v>
      </c>
      <c r="C786" t="s">
        <v>171</v>
      </c>
      <c r="D786" t="s">
        <v>24</v>
      </c>
      <c r="E786" t="s">
        <v>21</v>
      </c>
      <c r="F786" t="s">
        <v>16</v>
      </c>
      <c r="G786" s="1">
        <v>45778</v>
      </c>
      <c r="H786">
        <v>227</v>
      </c>
      <c r="I786">
        <v>7</v>
      </c>
      <c r="J786">
        <v>0.89</v>
      </c>
      <c r="K786">
        <v>2111.4</v>
      </c>
      <c r="L786" t="s">
        <v>18</v>
      </c>
    </row>
    <row r="787" spans="1:12" x14ac:dyDescent="0.3">
      <c r="A787">
        <v>67</v>
      </c>
      <c r="B787" t="s">
        <v>170</v>
      </c>
      <c r="C787" t="s">
        <v>171</v>
      </c>
      <c r="D787" t="s">
        <v>24</v>
      </c>
      <c r="E787" t="s">
        <v>21</v>
      </c>
      <c r="F787" t="s">
        <v>16</v>
      </c>
      <c r="G787" s="1">
        <v>45809</v>
      </c>
      <c r="H787">
        <v>338</v>
      </c>
      <c r="I787">
        <v>5</v>
      </c>
      <c r="J787">
        <v>0.85</v>
      </c>
      <c r="K787">
        <v>3021.6</v>
      </c>
      <c r="L787" t="s">
        <v>18</v>
      </c>
    </row>
    <row r="788" spans="1:12" x14ac:dyDescent="0.3">
      <c r="A788">
        <v>67</v>
      </c>
      <c r="B788" t="s">
        <v>170</v>
      </c>
      <c r="C788" t="s">
        <v>171</v>
      </c>
      <c r="D788" t="s">
        <v>24</v>
      </c>
      <c r="E788" t="s">
        <v>21</v>
      </c>
      <c r="F788" t="s">
        <v>16</v>
      </c>
      <c r="G788" s="1">
        <v>45839</v>
      </c>
      <c r="H788">
        <v>253</v>
      </c>
      <c r="I788">
        <v>4</v>
      </c>
      <c r="J788">
        <v>0.93</v>
      </c>
      <c r="K788">
        <v>2324.6</v>
      </c>
      <c r="L788" t="s">
        <v>18</v>
      </c>
    </row>
    <row r="789" spans="1:12" x14ac:dyDescent="0.3">
      <c r="A789">
        <v>67</v>
      </c>
      <c r="B789" t="s">
        <v>170</v>
      </c>
      <c r="C789" t="s">
        <v>171</v>
      </c>
      <c r="D789" t="s">
        <v>24</v>
      </c>
      <c r="E789" t="s">
        <v>21</v>
      </c>
      <c r="F789" t="s">
        <v>16</v>
      </c>
      <c r="G789" s="1">
        <v>45870</v>
      </c>
      <c r="H789">
        <v>295</v>
      </c>
      <c r="I789">
        <v>3</v>
      </c>
      <c r="J789">
        <v>0.92</v>
      </c>
      <c r="K789">
        <v>2669</v>
      </c>
      <c r="L789" t="s">
        <v>18</v>
      </c>
    </row>
    <row r="790" spans="1:12" x14ac:dyDescent="0.3">
      <c r="A790">
        <v>67</v>
      </c>
      <c r="B790" t="s">
        <v>170</v>
      </c>
      <c r="C790" t="s">
        <v>171</v>
      </c>
      <c r="D790" t="s">
        <v>24</v>
      </c>
      <c r="E790" t="s">
        <v>21</v>
      </c>
      <c r="F790" t="s">
        <v>16</v>
      </c>
      <c r="G790" s="1">
        <v>45901</v>
      </c>
      <c r="H790">
        <v>243</v>
      </c>
      <c r="I790">
        <v>4</v>
      </c>
      <c r="J790">
        <v>0.94</v>
      </c>
      <c r="K790">
        <v>2242.6</v>
      </c>
      <c r="L790" t="s">
        <v>18</v>
      </c>
    </row>
    <row r="791" spans="1:12" x14ac:dyDescent="0.3">
      <c r="A791">
        <v>67</v>
      </c>
      <c r="B791" t="s">
        <v>170</v>
      </c>
      <c r="C791" t="s">
        <v>171</v>
      </c>
      <c r="D791" t="s">
        <v>24</v>
      </c>
      <c r="E791" t="s">
        <v>21</v>
      </c>
      <c r="F791" t="s">
        <v>16</v>
      </c>
      <c r="G791" s="1">
        <v>45931</v>
      </c>
      <c r="H791">
        <v>154</v>
      </c>
      <c r="I791">
        <v>2</v>
      </c>
      <c r="J791">
        <v>0.85</v>
      </c>
      <c r="K791">
        <v>1512.8</v>
      </c>
      <c r="L791" t="s">
        <v>17</v>
      </c>
    </row>
    <row r="792" spans="1:12" x14ac:dyDescent="0.3">
      <c r="A792">
        <v>67</v>
      </c>
      <c r="B792" t="s">
        <v>170</v>
      </c>
      <c r="C792" t="s">
        <v>171</v>
      </c>
      <c r="D792" t="s">
        <v>24</v>
      </c>
      <c r="E792" t="s">
        <v>21</v>
      </c>
      <c r="F792" t="s">
        <v>16</v>
      </c>
      <c r="G792" s="1">
        <v>45962</v>
      </c>
      <c r="H792">
        <v>301</v>
      </c>
      <c r="I792">
        <v>7</v>
      </c>
      <c r="J792">
        <v>0.97</v>
      </c>
      <c r="K792">
        <v>2718.2</v>
      </c>
      <c r="L792" t="s">
        <v>18</v>
      </c>
    </row>
    <row r="793" spans="1:12" x14ac:dyDescent="0.3">
      <c r="A793">
        <v>67</v>
      </c>
      <c r="B793" t="s">
        <v>170</v>
      </c>
      <c r="C793" t="s">
        <v>171</v>
      </c>
      <c r="D793" t="s">
        <v>24</v>
      </c>
      <c r="E793" t="s">
        <v>21</v>
      </c>
      <c r="F793" t="s">
        <v>16</v>
      </c>
      <c r="G793" s="1">
        <v>45992</v>
      </c>
      <c r="H793">
        <v>336</v>
      </c>
      <c r="I793">
        <v>5</v>
      </c>
      <c r="J793">
        <v>0.92</v>
      </c>
      <c r="K793">
        <v>3005.2</v>
      </c>
      <c r="L793" t="s">
        <v>18</v>
      </c>
    </row>
    <row r="794" spans="1:12" x14ac:dyDescent="0.3">
      <c r="A794">
        <v>68</v>
      </c>
      <c r="B794" t="s">
        <v>172</v>
      </c>
      <c r="C794" t="s">
        <v>173</v>
      </c>
      <c r="D794" t="s">
        <v>32</v>
      </c>
      <c r="E794" t="s">
        <v>39</v>
      </c>
      <c r="F794" t="s">
        <v>16</v>
      </c>
      <c r="G794" s="1">
        <v>45658</v>
      </c>
      <c r="H794">
        <v>286</v>
      </c>
      <c r="I794">
        <v>2</v>
      </c>
      <c r="J794">
        <v>0.93</v>
      </c>
      <c r="K794">
        <v>3503</v>
      </c>
      <c r="L794" t="s">
        <v>18</v>
      </c>
    </row>
    <row r="795" spans="1:12" x14ac:dyDescent="0.3">
      <c r="A795">
        <v>68</v>
      </c>
      <c r="B795" t="s">
        <v>172</v>
      </c>
      <c r="C795" t="s">
        <v>173</v>
      </c>
      <c r="D795" t="s">
        <v>32</v>
      </c>
      <c r="E795" t="s">
        <v>39</v>
      </c>
      <c r="F795" t="s">
        <v>16</v>
      </c>
      <c r="G795" s="1">
        <v>45689</v>
      </c>
      <c r="H795">
        <v>181</v>
      </c>
      <c r="I795">
        <v>2</v>
      </c>
      <c r="J795">
        <v>0.9</v>
      </c>
      <c r="K795">
        <v>2400.5</v>
      </c>
      <c r="L795" t="s">
        <v>18</v>
      </c>
    </row>
    <row r="796" spans="1:12" x14ac:dyDescent="0.3">
      <c r="A796">
        <v>68</v>
      </c>
      <c r="B796" t="s">
        <v>172</v>
      </c>
      <c r="C796" t="s">
        <v>173</v>
      </c>
      <c r="D796" t="s">
        <v>32</v>
      </c>
      <c r="E796" t="s">
        <v>39</v>
      </c>
      <c r="F796" t="s">
        <v>16</v>
      </c>
      <c r="G796" s="1">
        <v>45717</v>
      </c>
      <c r="H796">
        <v>268</v>
      </c>
      <c r="I796">
        <v>6</v>
      </c>
      <c r="J796">
        <v>0.86</v>
      </c>
      <c r="K796">
        <v>3314</v>
      </c>
      <c r="L796" t="s">
        <v>18</v>
      </c>
    </row>
    <row r="797" spans="1:12" x14ac:dyDescent="0.3">
      <c r="A797">
        <v>68</v>
      </c>
      <c r="B797" t="s">
        <v>172</v>
      </c>
      <c r="C797" t="s">
        <v>173</v>
      </c>
      <c r="D797" t="s">
        <v>32</v>
      </c>
      <c r="E797" t="s">
        <v>39</v>
      </c>
      <c r="F797" t="s">
        <v>16</v>
      </c>
      <c r="G797" s="1">
        <v>45748</v>
      </c>
      <c r="H797">
        <v>166</v>
      </c>
      <c r="I797">
        <v>8</v>
      </c>
      <c r="J797">
        <v>0.85</v>
      </c>
      <c r="K797">
        <v>2243</v>
      </c>
      <c r="L797" t="s">
        <v>18</v>
      </c>
    </row>
    <row r="798" spans="1:12" x14ac:dyDescent="0.3">
      <c r="A798">
        <v>68</v>
      </c>
      <c r="B798" t="s">
        <v>172</v>
      </c>
      <c r="C798" t="s">
        <v>173</v>
      </c>
      <c r="D798" t="s">
        <v>32</v>
      </c>
      <c r="E798" t="s">
        <v>39</v>
      </c>
      <c r="F798" t="s">
        <v>16</v>
      </c>
      <c r="G798" s="1">
        <v>45778</v>
      </c>
      <c r="H798">
        <v>294</v>
      </c>
      <c r="I798">
        <v>10</v>
      </c>
      <c r="J798">
        <v>0.97</v>
      </c>
      <c r="K798">
        <v>3587</v>
      </c>
      <c r="L798" t="s">
        <v>18</v>
      </c>
    </row>
    <row r="799" spans="1:12" x14ac:dyDescent="0.3">
      <c r="A799">
        <v>68</v>
      </c>
      <c r="B799" t="s">
        <v>172</v>
      </c>
      <c r="C799" t="s">
        <v>173</v>
      </c>
      <c r="D799" t="s">
        <v>32</v>
      </c>
      <c r="E799" t="s">
        <v>39</v>
      </c>
      <c r="F799" t="s">
        <v>16</v>
      </c>
      <c r="G799" s="1">
        <v>45809</v>
      </c>
      <c r="H799">
        <v>315</v>
      </c>
      <c r="I799">
        <v>10</v>
      </c>
      <c r="J799">
        <v>0.85</v>
      </c>
      <c r="K799">
        <v>3807.5</v>
      </c>
      <c r="L799" t="s">
        <v>18</v>
      </c>
    </row>
    <row r="800" spans="1:12" x14ac:dyDescent="0.3">
      <c r="A800">
        <v>68</v>
      </c>
      <c r="B800" t="s">
        <v>172</v>
      </c>
      <c r="C800" t="s">
        <v>173</v>
      </c>
      <c r="D800" t="s">
        <v>32</v>
      </c>
      <c r="E800" t="s">
        <v>39</v>
      </c>
      <c r="F800" t="s">
        <v>16</v>
      </c>
      <c r="G800" s="1">
        <v>45839</v>
      </c>
      <c r="H800">
        <v>332</v>
      </c>
      <c r="I800">
        <v>5</v>
      </c>
      <c r="J800">
        <v>0.91</v>
      </c>
      <c r="K800">
        <v>3986</v>
      </c>
      <c r="L800" t="s">
        <v>18</v>
      </c>
    </row>
    <row r="801" spans="1:12" x14ac:dyDescent="0.3">
      <c r="A801">
        <v>68</v>
      </c>
      <c r="B801" t="s">
        <v>172</v>
      </c>
      <c r="C801" t="s">
        <v>173</v>
      </c>
      <c r="D801" t="s">
        <v>32</v>
      </c>
      <c r="E801" t="s">
        <v>39</v>
      </c>
      <c r="F801" t="s">
        <v>16</v>
      </c>
      <c r="G801" s="1">
        <v>45870</v>
      </c>
      <c r="H801">
        <v>318</v>
      </c>
      <c r="I801">
        <v>6</v>
      </c>
      <c r="J801">
        <v>0.87</v>
      </c>
      <c r="K801">
        <v>3839</v>
      </c>
      <c r="L801" t="s">
        <v>17</v>
      </c>
    </row>
    <row r="802" spans="1:12" x14ac:dyDescent="0.3">
      <c r="A802">
        <v>68</v>
      </c>
      <c r="B802" t="s">
        <v>172</v>
      </c>
      <c r="C802" t="s">
        <v>173</v>
      </c>
      <c r="D802" t="s">
        <v>32</v>
      </c>
      <c r="E802" t="s">
        <v>39</v>
      </c>
      <c r="F802" t="s">
        <v>16</v>
      </c>
      <c r="G802" s="1">
        <v>45901</v>
      </c>
      <c r="H802">
        <v>384</v>
      </c>
      <c r="I802">
        <v>9</v>
      </c>
      <c r="J802">
        <v>0.9</v>
      </c>
      <c r="K802">
        <v>4532</v>
      </c>
      <c r="L802" t="s">
        <v>18</v>
      </c>
    </row>
    <row r="803" spans="1:12" x14ac:dyDescent="0.3">
      <c r="A803">
        <v>68</v>
      </c>
      <c r="B803" t="s">
        <v>172</v>
      </c>
      <c r="C803" t="s">
        <v>173</v>
      </c>
      <c r="D803" t="s">
        <v>32</v>
      </c>
      <c r="E803" t="s">
        <v>39</v>
      </c>
      <c r="F803" t="s">
        <v>16</v>
      </c>
      <c r="G803" s="1">
        <v>45931</v>
      </c>
      <c r="H803">
        <v>384</v>
      </c>
      <c r="I803">
        <v>5</v>
      </c>
      <c r="J803">
        <v>0.92</v>
      </c>
      <c r="K803">
        <v>4532</v>
      </c>
      <c r="L803" t="s">
        <v>18</v>
      </c>
    </row>
    <row r="804" spans="1:12" x14ac:dyDescent="0.3">
      <c r="A804">
        <v>68</v>
      </c>
      <c r="B804" t="s">
        <v>172</v>
      </c>
      <c r="C804" t="s">
        <v>173</v>
      </c>
      <c r="D804" t="s">
        <v>32</v>
      </c>
      <c r="E804" t="s">
        <v>39</v>
      </c>
      <c r="F804" t="s">
        <v>16</v>
      </c>
      <c r="G804" s="1">
        <v>45962</v>
      </c>
      <c r="H804">
        <v>327</v>
      </c>
      <c r="I804">
        <v>3</v>
      </c>
      <c r="J804">
        <v>0.85</v>
      </c>
      <c r="K804">
        <v>3933.5</v>
      </c>
      <c r="L804" t="s">
        <v>18</v>
      </c>
    </row>
    <row r="805" spans="1:12" x14ac:dyDescent="0.3">
      <c r="A805">
        <v>68</v>
      </c>
      <c r="B805" t="s">
        <v>172</v>
      </c>
      <c r="C805" t="s">
        <v>173</v>
      </c>
      <c r="D805" t="s">
        <v>32</v>
      </c>
      <c r="E805" t="s">
        <v>39</v>
      </c>
      <c r="F805" t="s">
        <v>16</v>
      </c>
      <c r="G805" s="1">
        <v>45992</v>
      </c>
      <c r="H805">
        <v>339</v>
      </c>
      <c r="I805">
        <v>5</v>
      </c>
      <c r="J805">
        <v>0.94</v>
      </c>
      <c r="K805">
        <v>4059.5</v>
      </c>
      <c r="L805" t="s">
        <v>18</v>
      </c>
    </row>
    <row r="806" spans="1:12" x14ac:dyDescent="0.3">
      <c r="A806">
        <v>69</v>
      </c>
      <c r="B806" t="s">
        <v>174</v>
      </c>
      <c r="C806" t="s">
        <v>175</v>
      </c>
      <c r="D806" t="s">
        <v>42</v>
      </c>
      <c r="E806" t="s">
        <v>25</v>
      </c>
      <c r="F806" t="s">
        <v>26</v>
      </c>
      <c r="G806" s="1">
        <v>45658</v>
      </c>
      <c r="H806">
        <v>196</v>
      </c>
      <c r="I806">
        <v>6</v>
      </c>
      <c r="J806">
        <v>0.86</v>
      </c>
      <c r="K806">
        <v>1015.8</v>
      </c>
      <c r="L806" t="s">
        <v>17</v>
      </c>
    </row>
    <row r="807" spans="1:12" x14ac:dyDescent="0.3">
      <c r="A807">
        <v>69</v>
      </c>
      <c r="B807" t="s">
        <v>174</v>
      </c>
      <c r="C807" t="s">
        <v>175</v>
      </c>
      <c r="D807" t="s">
        <v>42</v>
      </c>
      <c r="E807" t="s">
        <v>25</v>
      </c>
      <c r="F807" t="s">
        <v>26</v>
      </c>
      <c r="G807" s="1">
        <v>45689</v>
      </c>
      <c r="H807">
        <v>323</v>
      </c>
      <c r="I807">
        <v>4</v>
      </c>
      <c r="J807">
        <v>0.86</v>
      </c>
      <c r="K807">
        <v>1625.4</v>
      </c>
      <c r="L807" t="s">
        <v>18</v>
      </c>
    </row>
    <row r="808" spans="1:12" x14ac:dyDescent="0.3">
      <c r="A808">
        <v>69</v>
      </c>
      <c r="B808" t="s">
        <v>174</v>
      </c>
      <c r="C808" t="s">
        <v>175</v>
      </c>
      <c r="D808" t="s">
        <v>42</v>
      </c>
      <c r="E808" t="s">
        <v>25</v>
      </c>
      <c r="F808" t="s">
        <v>26</v>
      </c>
      <c r="G808" s="1">
        <v>45717</v>
      </c>
      <c r="H808">
        <v>316</v>
      </c>
      <c r="I808">
        <v>5</v>
      </c>
      <c r="J808">
        <v>0.96</v>
      </c>
      <c r="K808">
        <v>1591.8</v>
      </c>
      <c r="L808" t="s">
        <v>18</v>
      </c>
    </row>
    <row r="809" spans="1:12" x14ac:dyDescent="0.3">
      <c r="A809">
        <v>69</v>
      </c>
      <c r="B809" t="s">
        <v>174</v>
      </c>
      <c r="C809" t="s">
        <v>175</v>
      </c>
      <c r="D809" t="s">
        <v>42</v>
      </c>
      <c r="E809" t="s">
        <v>25</v>
      </c>
      <c r="F809" t="s">
        <v>26</v>
      </c>
      <c r="G809" s="1">
        <v>45748</v>
      </c>
      <c r="H809">
        <v>352</v>
      </c>
      <c r="I809">
        <v>5</v>
      </c>
      <c r="J809">
        <v>0.86</v>
      </c>
      <c r="K809">
        <v>1764.6</v>
      </c>
      <c r="L809" t="s">
        <v>18</v>
      </c>
    </row>
    <row r="810" spans="1:12" x14ac:dyDescent="0.3">
      <c r="A810">
        <v>69</v>
      </c>
      <c r="B810" t="s">
        <v>174</v>
      </c>
      <c r="C810" t="s">
        <v>175</v>
      </c>
      <c r="D810" t="s">
        <v>42</v>
      </c>
      <c r="E810" t="s">
        <v>25</v>
      </c>
      <c r="F810" t="s">
        <v>26</v>
      </c>
      <c r="G810" s="1">
        <v>45778</v>
      </c>
      <c r="H810">
        <v>384</v>
      </c>
      <c r="I810">
        <v>4</v>
      </c>
      <c r="J810">
        <v>0.93</v>
      </c>
      <c r="K810">
        <v>1918.2</v>
      </c>
      <c r="L810" t="s">
        <v>17</v>
      </c>
    </row>
    <row r="811" spans="1:12" x14ac:dyDescent="0.3">
      <c r="A811">
        <v>69</v>
      </c>
      <c r="B811" t="s">
        <v>174</v>
      </c>
      <c r="C811" t="s">
        <v>175</v>
      </c>
      <c r="D811" t="s">
        <v>42</v>
      </c>
      <c r="E811" t="s">
        <v>25</v>
      </c>
      <c r="F811" t="s">
        <v>26</v>
      </c>
      <c r="G811" s="1">
        <v>45809</v>
      </c>
      <c r="H811">
        <v>178</v>
      </c>
      <c r="I811">
        <v>9</v>
      </c>
      <c r="J811">
        <v>0.93</v>
      </c>
      <c r="K811">
        <v>929.4</v>
      </c>
      <c r="L811" t="s">
        <v>18</v>
      </c>
    </row>
    <row r="812" spans="1:12" x14ac:dyDescent="0.3">
      <c r="A812">
        <v>69</v>
      </c>
      <c r="B812" t="s">
        <v>174</v>
      </c>
      <c r="C812" t="s">
        <v>175</v>
      </c>
      <c r="D812" t="s">
        <v>42</v>
      </c>
      <c r="E812" t="s">
        <v>25</v>
      </c>
      <c r="F812" t="s">
        <v>26</v>
      </c>
      <c r="G812" s="1">
        <v>45839</v>
      </c>
      <c r="H812">
        <v>350</v>
      </c>
      <c r="I812">
        <v>2</v>
      </c>
      <c r="J812">
        <v>0.99</v>
      </c>
      <c r="K812">
        <v>1755</v>
      </c>
      <c r="L812" t="s">
        <v>18</v>
      </c>
    </row>
    <row r="813" spans="1:12" x14ac:dyDescent="0.3">
      <c r="A813">
        <v>69</v>
      </c>
      <c r="B813" t="s">
        <v>174</v>
      </c>
      <c r="C813" t="s">
        <v>175</v>
      </c>
      <c r="D813" t="s">
        <v>42</v>
      </c>
      <c r="E813" t="s">
        <v>25</v>
      </c>
      <c r="F813" t="s">
        <v>26</v>
      </c>
      <c r="G813" s="1">
        <v>45870</v>
      </c>
      <c r="H813">
        <v>288</v>
      </c>
      <c r="I813">
        <v>2</v>
      </c>
      <c r="J813">
        <v>0.95</v>
      </c>
      <c r="K813">
        <v>1457.4</v>
      </c>
      <c r="L813" t="s">
        <v>18</v>
      </c>
    </row>
    <row r="814" spans="1:12" x14ac:dyDescent="0.3">
      <c r="A814">
        <v>69</v>
      </c>
      <c r="B814" t="s">
        <v>174</v>
      </c>
      <c r="C814" t="s">
        <v>175</v>
      </c>
      <c r="D814" t="s">
        <v>42</v>
      </c>
      <c r="E814" t="s">
        <v>25</v>
      </c>
      <c r="F814" t="s">
        <v>26</v>
      </c>
      <c r="G814" s="1">
        <v>45901</v>
      </c>
      <c r="H814">
        <v>180</v>
      </c>
      <c r="I814">
        <v>8</v>
      </c>
      <c r="J814">
        <v>0.99</v>
      </c>
      <c r="K814">
        <v>939</v>
      </c>
      <c r="L814" t="s">
        <v>18</v>
      </c>
    </row>
    <row r="815" spans="1:12" x14ac:dyDescent="0.3">
      <c r="A815">
        <v>69</v>
      </c>
      <c r="B815" t="s">
        <v>174</v>
      </c>
      <c r="C815" t="s">
        <v>175</v>
      </c>
      <c r="D815" t="s">
        <v>42</v>
      </c>
      <c r="E815" t="s">
        <v>25</v>
      </c>
      <c r="F815" t="s">
        <v>26</v>
      </c>
      <c r="G815" s="1">
        <v>45931</v>
      </c>
      <c r="H815">
        <v>306</v>
      </c>
      <c r="I815">
        <v>10</v>
      </c>
      <c r="J815">
        <v>0.97</v>
      </c>
      <c r="K815">
        <v>1543.8</v>
      </c>
      <c r="L815" t="s">
        <v>18</v>
      </c>
    </row>
    <row r="816" spans="1:12" x14ac:dyDescent="0.3">
      <c r="A816">
        <v>69</v>
      </c>
      <c r="B816" t="s">
        <v>174</v>
      </c>
      <c r="C816" t="s">
        <v>175</v>
      </c>
      <c r="D816" t="s">
        <v>42</v>
      </c>
      <c r="E816" t="s">
        <v>25</v>
      </c>
      <c r="F816" t="s">
        <v>26</v>
      </c>
      <c r="G816" s="1">
        <v>45962</v>
      </c>
      <c r="H816">
        <v>233</v>
      </c>
      <c r="I816">
        <v>9</v>
      </c>
      <c r="J816">
        <v>0.88</v>
      </c>
      <c r="K816">
        <v>1193.4000000000001</v>
      </c>
      <c r="L816" t="s">
        <v>18</v>
      </c>
    </row>
    <row r="817" spans="1:12" x14ac:dyDescent="0.3">
      <c r="A817">
        <v>69</v>
      </c>
      <c r="B817" t="s">
        <v>174</v>
      </c>
      <c r="C817" t="s">
        <v>175</v>
      </c>
      <c r="D817" t="s">
        <v>42</v>
      </c>
      <c r="E817" t="s">
        <v>25</v>
      </c>
      <c r="F817" t="s">
        <v>26</v>
      </c>
      <c r="G817" s="1">
        <v>45992</v>
      </c>
      <c r="H817">
        <v>200</v>
      </c>
      <c r="I817">
        <v>2</v>
      </c>
      <c r="J817">
        <v>0.87</v>
      </c>
      <c r="K817">
        <v>1035</v>
      </c>
      <c r="L817" t="s">
        <v>18</v>
      </c>
    </row>
    <row r="818" spans="1:12" x14ac:dyDescent="0.3">
      <c r="A818">
        <v>70</v>
      </c>
      <c r="B818" t="s">
        <v>176</v>
      </c>
      <c r="C818" t="s">
        <v>177</v>
      </c>
      <c r="D818" t="s">
        <v>14</v>
      </c>
      <c r="E818" t="s">
        <v>29</v>
      </c>
      <c r="F818" t="s">
        <v>26</v>
      </c>
      <c r="G818" s="1">
        <v>45658</v>
      </c>
      <c r="H818">
        <v>200</v>
      </c>
      <c r="I818">
        <v>6</v>
      </c>
      <c r="J818">
        <v>0.95</v>
      </c>
      <c r="K818">
        <v>1400</v>
      </c>
      <c r="L818" t="s">
        <v>18</v>
      </c>
    </row>
    <row r="819" spans="1:12" x14ac:dyDescent="0.3">
      <c r="A819">
        <v>70</v>
      </c>
      <c r="B819" t="s">
        <v>176</v>
      </c>
      <c r="C819" t="s">
        <v>177</v>
      </c>
      <c r="D819" t="s">
        <v>14</v>
      </c>
      <c r="E819" t="s">
        <v>29</v>
      </c>
      <c r="F819" t="s">
        <v>26</v>
      </c>
      <c r="G819" s="1">
        <v>45689</v>
      </c>
      <c r="H819">
        <v>153</v>
      </c>
      <c r="I819">
        <v>3</v>
      </c>
      <c r="J819">
        <v>0.85</v>
      </c>
      <c r="K819">
        <v>1094.5</v>
      </c>
      <c r="L819" t="s">
        <v>18</v>
      </c>
    </row>
    <row r="820" spans="1:12" x14ac:dyDescent="0.3">
      <c r="A820">
        <v>70</v>
      </c>
      <c r="B820" t="s">
        <v>176</v>
      </c>
      <c r="C820" t="s">
        <v>177</v>
      </c>
      <c r="D820" t="s">
        <v>14</v>
      </c>
      <c r="E820" t="s">
        <v>29</v>
      </c>
      <c r="F820" t="s">
        <v>26</v>
      </c>
      <c r="G820" s="1">
        <v>45717</v>
      </c>
      <c r="H820">
        <v>318</v>
      </c>
      <c r="I820">
        <v>7</v>
      </c>
      <c r="J820">
        <v>0.97</v>
      </c>
      <c r="K820">
        <v>2167</v>
      </c>
      <c r="L820" t="s">
        <v>18</v>
      </c>
    </row>
    <row r="821" spans="1:12" x14ac:dyDescent="0.3">
      <c r="A821">
        <v>70</v>
      </c>
      <c r="B821" t="s">
        <v>176</v>
      </c>
      <c r="C821" t="s">
        <v>177</v>
      </c>
      <c r="D821" t="s">
        <v>14</v>
      </c>
      <c r="E821" t="s">
        <v>29</v>
      </c>
      <c r="F821" t="s">
        <v>26</v>
      </c>
      <c r="G821" s="1">
        <v>45748</v>
      </c>
      <c r="H821">
        <v>304</v>
      </c>
      <c r="I821">
        <v>10</v>
      </c>
      <c r="J821">
        <v>0.88</v>
      </c>
      <c r="K821">
        <v>2076</v>
      </c>
      <c r="L821" t="s">
        <v>18</v>
      </c>
    </row>
    <row r="822" spans="1:12" x14ac:dyDescent="0.3">
      <c r="A822">
        <v>70</v>
      </c>
      <c r="B822" t="s">
        <v>176</v>
      </c>
      <c r="C822" t="s">
        <v>177</v>
      </c>
      <c r="D822" t="s">
        <v>14</v>
      </c>
      <c r="E822" t="s">
        <v>29</v>
      </c>
      <c r="F822" t="s">
        <v>26</v>
      </c>
      <c r="G822" s="1">
        <v>45778</v>
      </c>
      <c r="H822">
        <v>165</v>
      </c>
      <c r="I822">
        <v>6</v>
      </c>
      <c r="J822">
        <v>0.94</v>
      </c>
      <c r="K822">
        <v>1172.5</v>
      </c>
      <c r="L822" t="s">
        <v>18</v>
      </c>
    </row>
    <row r="823" spans="1:12" x14ac:dyDescent="0.3">
      <c r="A823">
        <v>70</v>
      </c>
      <c r="B823" t="s">
        <v>176</v>
      </c>
      <c r="C823" t="s">
        <v>177</v>
      </c>
      <c r="D823" t="s">
        <v>14</v>
      </c>
      <c r="E823" t="s">
        <v>29</v>
      </c>
      <c r="F823" t="s">
        <v>26</v>
      </c>
      <c r="G823" s="1">
        <v>45809</v>
      </c>
      <c r="H823">
        <v>201</v>
      </c>
      <c r="I823">
        <v>9</v>
      </c>
      <c r="J823">
        <v>0.96</v>
      </c>
      <c r="K823">
        <v>1406.5</v>
      </c>
      <c r="L823" t="s">
        <v>18</v>
      </c>
    </row>
    <row r="824" spans="1:12" x14ac:dyDescent="0.3">
      <c r="A824">
        <v>70</v>
      </c>
      <c r="B824" t="s">
        <v>176</v>
      </c>
      <c r="C824" t="s">
        <v>177</v>
      </c>
      <c r="D824" t="s">
        <v>14</v>
      </c>
      <c r="E824" t="s">
        <v>29</v>
      </c>
      <c r="F824" t="s">
        <v>26</v>
      </c>
      <c r="G824" s="1">
        <v>45839</v>
      </c>
      <c r="H824">
        <v>380</v>
      </c>
      <c r="I824">
        <v>9</v>
      </c>
      <c r="J824">
        <v>0.99</v>
      </c>
      <c r="K824">
        <v>2570</v>
      </c>
      <c r="L824" t="s">
        <v>18</v>
      </c>
    </row>
    <row r="825" spans="1:12" x14ac:dyDescent="0.3">
      <c r="A825">
        <v>70</v>
      </c>
      <c r="B825" t="s">
        <v>176</v>
      </c>
      <c r="C825" t="s">
        <v>177</v>
      </c>
      <c r="D825" t="s">
        <v>14</v>
      </c>
      <c r="E825" t="s">
        <v>29</v>
      </c>
      <c r="F825" t="s">
        <v>26</v>
      </c>
      <c r="G825" s="1">
        <v>45870</v>
      </c>
      <c r="H825">
        <v>319</v>
      </c>
      <c r="I825">
        <v>4</v>
      </c>
      <c r="J825">
        <v>0.9</v>
      </c>
      <c r="K825">
        <v>2173.5</v>
      </c>
      <c r="L825" t="s">
        <v>18</v>
      </c>
    </row>
    <row r="826" spans="1:12" x14ac:dyDescent="0.3">
      <c r="A826">
        <v>70</v>
      </c>
      <c r="B826" t="s">
        <v>176</v>
      </c>
      <c r="C826" t="s">
        <v>177</v>
      </c>
      <c r="D826" t="s">
        <v>14</v>
      </c>
      <c r="E826" t="s">
        <v>29</v>
      </c>
      <c r="F826" t="s">
        <v>26</v>
      </c>
      <c r="G826" s="1">
        <v>45901</v>
      </c>
      <c r="H826">
        <v>318</v>
      </c>
      <c r="I826">
        <v>4</v>
      </c>
      <c r="J826">
        <v>0.91</v>
      </c>
      <c r="K826">
        <v>2167</v>
      </c>
      <c r="L826" t="s">
        <v>18</v>
      </c>
    </row>
    <row r="827" spans="1:12" x14ac:dyDescent="0.3">
      <c r="A827">
        <v>70</v>
      </c>
      <c r="B827" t="s">
        <v>176</v>
      </c>
      <c r="C827" t="s">
        <v>177</v>
      </c>
      <c r="D827" t="s">
        <v>14</v>
      </c>
      <c r="E827" t="s">
        <v>29</v>
      </c>
      <c r="F827" t="s">
        <v>26</v>
      </c>
      <c r="G827" s="1">
        <v>45931</v>
      </c>
      <c r="H827">
        <v>284</v>
      </c>
      <c r="I827">
        <v>2</v>
      </c>
      <c r="J827">
        <v>0.88</v>
      </c>
      <c r="K827">
        <v>1946</v>
      </c>
      <c r="L827" t="s">
        <v>18</v>
      </c>
    </row>
    <row r="828" spans="1:12" x14ac:dyDescent="0.3">
      <c r="A828">
        <v>70</v>
      </c>
      <c r="B828" t="s">
        <v>176</v>
      </c>
      <c r="C828" t="s">
        <v>177</v>
      </c>
      <c r="D828" t="s">
        <v>14</v>
      </c>
      <c r="E828" t="s">
        <v>29</v>
      </c>
      <c r="F828" t="s">
        <v>26</v>
      </c>
      <c r="G828" s="1">
        <v>45962</v>
      </c>
      <c r="H828">
        <v>240</v>
      </c>
      <c r="I828">
        <v>2</v>
      </c>
      <c r="J828">
        <v>0.9</v>
      </c>
      <c r="K828">
        <v>1660</v>
      </c>
      <c r="L828" t="s">
        <v>18</v>
      </c>
    </row>
    <row r="829" spans="1:12" x14ac:dyDescent="0.3">
      <c r="A829">
        <v>70</v>
      </c>
      <c r="B829" t="s">
        <v>176</v>
      </c>
      <c r="C829" t="s">
        <v>177</v>
      </c>
      <c r="D829" t="s">
        <v>14</v>
      </c>
      <c r="E829" t="s">
        <v>29</v>
      </c>
      <c r="F829" t="s">
        <v>26</v>
      </c>
      <c r="G829" s="1">
        <v>45992</v>
      </c>
      <c r="H829">
        <v>299</v>
      </c>
      <c r="I829">
        <v>10</v>
      </c>
      <c r="J829">
        <v>0.96</v>
      </c>
      <c r="K829">
        <v>2043.5</v>
      </c>
      <c r="L829" t="s">
        <v>18</v>
      </c>
    </row>
    <row r="830" spans="1:12" x14ac:dyDescent="0.3">
      <c r="A830">
        <v>71</v>
      </c>
      <c r="B830" t="s">
        <v>178</v>
      </c>
      <c r="C830" t="s">
        <v>179</v>
      </c>
      <c r="D830" t="s">
        <v>24</v>
      </c>
      <c r="E830" t="s">
        <v>47</v>
      </c>
      <c r="F830" t="s">
        <v>26</v>
      </c>
      <c r="G830" s="1">
        <v>45658</v>
      </c>
      <c r="H830">
        <v>281</v>
      </c>
      <c r="I830">
        <v>5</v>
      </c>
      <c r="J830">
        <v>0.97</v>
      </c>
      <c r="K830">
        <v>2554.1999999999998</v>
      </c>
      <c r="L830" t="s">
        <v>18</v>
      </c>
    </row>
    <row r="831" spans="1:12" x14ac:dyDescent="0.3">
      <c r="A831">
        <v>71</v>
      </c>
      <c r="B831" t="s">
        <v>178</v>
      </c>
      <c r="C831" t="s">
        <v>179</v>
      </c>
      <c r="D831" t="s">
        <v>24</v>
      </c>
      <c r="E831" t="s">
        <v>47</v>
      </c>
      <c r="F831" t="s">
        <v>26</v>
      </c>
      <c r="G831" s="1">
        <v>45689</v>
      </c>
      <c r="H831">
        <v>349</v>
      </c>
      <c r="I831">
        <v>2</v>
      </c>
      <c r="J831">
        <v>0.88</v>
      </c>
      <c r="K831">
        <v>3111.8</v>
      </c>
      <c r="L831" t="s">
        <v>18</v>
      </c>
    </row>
    <row r="832" spans="1:12" x14ac:dyDescent="0.3">
      <c r="A832">
        <v>71</v>
      </c>
      <c r="B832" t="s">
        <v>178</v>
      </c>
      <c r="C832" t="s">
        <v>179</v>
      </c>
      <c r="D832" t="s">
        <v>24</v>
      </c>
      <c r="E832" t="s">
        <v>47</v>
      </c>
      <c r="F832" t="s">
        <v>26</v>
      </c>
      <c r="G832" s="1">
        <v>45717</v>
      </c>
      <c r="H832">
        <v>176</v>
      </c>
      <c r="I832">
        <v>8</v>
      </c>
      <c r="J832">
        <v>0.88</v>
      </c>
      <c r="K832">
        <v>1693.2</v>
      </c>
      <c r="L832" t="s">
        <v>18</v>
      </c>
    </row>
    <row r="833" spans="1:12" x14ac:dyDescent="0.3">
      <c r="A833">
        <v>71</v>
      </c>
      <c r="B833" t="s">
        <v>178</v>
      </c>
      <c r="C833" t="s">
        <v>179</v>
      </c>
      <c r="D833" t="s">
        <v>24</v>
      </c>
      <c r="E833" t="s">
        <v>47</v>
      </c>
      <c r="F833" t="s">
        <v>26</v>
      </c>
      <c r="G833" s="1">
        <v>45748</v>
      </c>
      <c r="H833">
        <v>375</v>
      </c>
      <c r="I833">
        <v>2</v>
      </c>
      <c r="J833">
        <v>0.87</v>
      </c>
      <c r="K833">
        <v>3325</v>
      </c>
      <c r="L833" t="s">
        <v>18</v>
      </c>
    </row>
    <row r="834" spans="1:12" x14ac:dyDescent="0.3">
      <c r="A834">
        <v>71</v>
      </c>
      <c r="B834" t="s">
        <v>178</v>
      </c>
      <c r="C834" t="s">
        <v>179</v>
      </c>
      <c r="D834" t="s">
        <v>24</v>
      </c>
      <c r="E834" t="s">
        <v>47</v>
      </c>
      <c r="F834" t="s">
        <v>26</v>
      </c>
      <c r="G834" s="1">
        <v>45778</v>
      </c>
      <c r="H834">
        <v>349</v>
      </c>
      <c r="I834">
        <v>3</v>
      </c>
      <c r="J834">
        <v>0.96</v>
      </c>
      <c r="K834">
        <v>3111.8</v>
      </c>
      <c r="L834" t="s">
        <v>18</v>
      </c>
    </row>
    <row r="835" spans="1:12" x14ac:dyDescent="0.3">
      <c r="A835">
        <v>71</v>
      </c>
      <c r="B835" t="s">
        <v>178</v>
      </c>
      <c r="C835" t="s">
        <v>179</v>
      </c>
      <c r="D835" t="s">
        <v>24</v>
      </c>
      <c r="E835" t="s">
        <v>47</v>
      </c>
      <c r="F835" t="s">
        <v>26</v>
      </c>
      <c r="G835" s="1">
        <v>45809</v>
      </c>
      <c r="H835">
        <v>251</v>
      </c>
      <c r="I835">
        <v>3</v>
      </c>
      <c r="J835">
        <v>0.94</v>
      </c>
      <c r="K835">
        <v>2308.1999999999998</v>
      </c>
      <c r="L835" t="s">
        <v>18</v>
      </c>
    </row>
    <row r="836" spans="1:12" x14ac:dyDescent="0.3">
      <c r="A836">
        <v>71</v>
      </c>
      <c r="B836" t="s">
        <v>178</v>
      </c>
      <c r="C836" t="s">
        <v>179</v>
      </c>
      <c r="D836" t="s">
        <v>24</v>
      </c>
      <c r="E836" t="s">
        <v>47</v>
      </c>
      <c r="F836" t="s">
        <v>26</v>
      </c>
      <c r="G836" s="1">
        <v>45839</v>
      </c>
      <c r="H836">
        <v>256</v>
      </c>
      <c r="I836">
        <v>5</v>
      </c>
      <c r="J836">
        <v>0.93</v>
      </c>
      <c r="K836">
        <v>2349.1999999999998</v>
      </c>
      <c r="L836" t="s">
        <v>17</v>
      </c>
    </row>
    <row r="837" spans="1:12" x14ac:dyDescent="0.3">
      <c r="A837">
        <v>71</v>
      </c>
      <c r="B837" t="s">
        <v>178</v>
      </c>
      <c r="C837" t="s">
        <v>179</v>
      </c>
      <c r="D837" t="s">
        <v>24</v>
      </c>
      <c r="E837" t="s">
        <v>47</v>
      </c>
      <c r="F837" t="s">
        <v>26</v>
      </c>
      <c r="G837" s="1">
        <v>45870</v>
      </c>
      <c r="H837">
        <v>299</v>
      </c>
      <c r="I837">
        <v>8</v>
      </c>
      <c r="J837">
        <v>0.97</v>
      </c>
      <c r="K837">
        <v>2701.8</v>
      </c>
      <c r="L837" t="s">
        <v>18</v>
      </c>
    </row>
    <row r="838" spans="1:12" x14ac:dyDescent="0.3">
      <c r="A838">
        <v>71</v>
      </c>
      <c r="B838" t="s">
        <v>178</v>
      </c>
      <c r="C838" t="s">
        <v>179</v>
      </c>
      <c r="D838" t="s">
        <v>24</v>
      </c>
      <c r="E838" t="s">
        <v>47</v>
      </c>
      <c r="F838" t="s">
        <v>26</v>
      </c>
      <c r="G838" s="1">
        <v>45901</v>
      </c>
      <c r="H838">
        <v>212</v>
      </c>
      <c r="I838">
        <v>7</v>
      </c>
      <c r="J838">
        <v>0.92</v>
      </c>
      <c r="K838">
        <v>1988.4</v>
      </c>
      <c r="L838" t="s">
        <v>18</v>
      </c>
    </row>
    <row r="839" spans="1:12" x14ac:dyDescent="0.3">
      <c r="A839">
        <v>71</v>
      </c>
      <c r="B839" t="s">
        <v>178</v>
      </c>
      <c r="C839" t="s">
        <v>179</v>
      </c>
      <c r="D839" t="s">
        <v>24</v>
      </c>
      <c r="E839" t="s">
        <v>47</v>
      </c>
      <c r="F839" t="s">
        <v>26</v>
      </c>
      <c r="G839" s="1">
        <v>45931</v>
      </c>
      <c r="H839">
        <v>296</v>
      </c>
      <c r="I839">
        <v>4</v>
      </c>
      <c r="J839">
        <v>0.88</v>
      </c>
      <c r="K839">
        <v>2677.2</v>
      </c>
      <c r="L839" t="s">
        <v>18</v>
      </c>
    </row>
    <row r="840" spans="1:12" x14ac:dyDescent="0.3">
      <c r="A840">
        <v>71</v>
      </c>
      <c r="B840" t="s">
        <v>178</v>
      </c>
      <c r="C840" t="s">
        <v>179</v>
      </c>
      <c r="D840" t="s">
        <v>24</v>
      </c>
      <c r="E840" t="s">
        <v>47</v>
      </c>
      <c r="F840" t="s">
        <v>26</v>
      </c>
      <c r="G840" s="1">
        <v>45962</v>
      </c>
      <c r="H840">
        <v>288</v>
      </c>
      <c r="I840">
        <v>8</v>
      </c>
      <c r="J840">
        <v>0.97</v>
      </c>
      <c r="K840">
        <v>2611.6</v>
      </c>
      <c r="L840" t="s">
        <v>17</v>
      </c>
    </row>
    <row r="841" spans="1:12" x14ac:dyDescent="0.3">
      <c r="A841">
        <v>71</v>
      </c>
      <c r="B841" t="s">
        <v>178</v>
      </c>
      <c r="C841" t="s">
        <v>179</v>
      </c>
      <c r="D841" t="s">
        <v>24</v>
      </c>
      <c r="E841" t="s">
        <v>47</v>
      </c>
      <c r="F841" t="s">
        <v>26</v>
      </c>
      <c r="G841" s="1">
        <v>45992</v>
      </c>
      <c r="H841">
        <v>253</v>
      </c>
      <c r="I841">
        <v>5</v>
      </c>
      <c r="J841">
        <v>0.87</v>
      </c>
      <c r="K841">
        <v>2324.6</v>
      </c>
      <c r="L841" t="s">
        <v>18</v>
      </c>
    </row>
    <row r="842" spans="1:12" x14ac:dyDescent="0.3">
      <c r="A842">
        <v>72</v>
      </c>
      <c r="B842" t="s">
        <v>180</v>
      </c>
      <c r="C842" t="s">
        <v>181</v>
      </c>
      <c r="D842" t="s">
        <v>32</v>
      </c>
      <c r="E842" t="s">
        <v>50</v>
      </c>
      <c r="F842" t="s">
        <v>51</v>
      </c>
      <c r="G842" s="1">
        <v>45658</v>
      </c>
      <c r="H842">
        <v>174</v>
      </c>
      <c r="I842">
        <v>2</v>
      </c>
      <c r="J842">
        <v>0.89</v>
      </c>
      <c r="K842">
        <v>2327</v>
      </c>
      <c r="L842" t="s">
        <v>18</v>
      </c>
    </row>
    <row r="843" spans="1:12" x14ac:dyDescent="0.3">
      <c r="A843">
        <v>72</v>
      </c>
      <c r="B843" t="s">
        <v>180</v>
      </c>
      <c r="C843" t="s">
        <v>181</v>
      </c>
      <c r="D843" t="s">
        <v>32</v>
      </c>
      <c r="E843" t="s">
        <v>50</v>
      </c>
      <c r="F843" t="s">
        <v>51</v>
      </c>
      <c r="G843" s="1">
        <v>45689</v>
      </c>
      <c r="H843">
        <v>226</v>
      </c>
      <c r="I843">
        <v>4</v>
      </c>
      <c r="J843">
        <v>0.93</v>
      </c>
      <c r="K843">
        <v>2873</v>
      </c>
      <c r="L843" t="s">
        <v>18</v>
      </c>
    </row>
    <row r="844" spans="1:12" x14ac:dyDescent="0.3">
      <c r="A844">
        <v>72</v>
      </c>
      <c r="B844" t="s">
        <v>180</v>
      </c>
      <c r="C844" t="s">
        <v>181</v>
      </c>
      <c r="D844" t="s">
        <v>32</v>
      </c>
      <c r="E844" t="s">
        <v>50</v>
      </c>
      <c r="F844" t="s">
        <v>51</v>
      </c>
      <c r="G844" s="1">
        <v>45717</v>
      </c>
      <c r="H844">
        <v>298</v>
      </c>
      <c r="I844">
        <v>7</v>
      </c>
      <c r="J844">
        <v>0.85</v>
      </c>
      <c r="K844">
        <v>3629</v>
      </c>
      <c r="L844" t="s">
        <v>18</v>
      </c>
    </row>
    <row r="845" spans="1:12" x14ac:dyDescent="0.3">
      <c r="A845">
        <v>72</v>
      </c>
      <c r="B845" t="s">
        <v>180</v>
      </c>
      <c r="C845" t="s">
        <v>181</v>
      </c>
      <c r="D845" t="s">
        <v>32</v>
      </c>
      <c r="E845" t="s">
        <v>50</v>
      </c>
      <c r="F845" t="s">
        <v>51</v>
      </c>
      <c r="G845" s="1">
        <v>45748</v>
      </c>
      <c r="H845">
        <v>254</v>
      </c>
      <c r="I845">
        <v>8</v>
      </c>
      <c r="J845">
        <v>0.85</v>
      </c>
      <c r="K845">
        <v>3167</v>
      </c>
      <c r="L845" t="s">
        <v>18</v>
      </c>
    </row>
    <row r="846" spans="1:12" x14ac:dyDescent="0.3">
      <c r="A846">
        <v>72</v>
      </c>
      <c r="B846" t="s">
        <v>180</v>
      </c>
      <c r="C846" t="s">
        <v>181</v>
      </c>
      <c r="D846" t="s">
        <v>32</v>
      </c>
      <c r="E846" t="s">
        <v>50</v>
      </c>
      <c r="F846" t="s">
        <v>51</v>
      </c>
      <c r="G846" s="1">
        <v>45778</v>
      </c>
      <c r="H846">
        <v>248</v>
      </c>
      <c r="I846">
        <v>2</v>
      </c>
      <c r="J846">
        <v>0.85</v>
      </c>
      <c r="K846">
        <v>3104</v>
      </c>
      <c r="L846" t="s">
        <v>18</v>
      </c>
    </row>
    <row r="847" spans="1:12" x14ac:dyDescent="0.3">
      <c r="A847">
        <v>72</v>
      </c>
      <c r="B847" t="s">
        <v>180</v>
      </c>
      <c r="C847" t="s">
        <v>181</v>
      </c>
      <c r="D847" t="s">
        <v>32</v>
      </c>
      <c r="E847" t="s">
        <v>50</v>
      </c>
      <c r="F847" t="s">
        <v>51</v>
      </c>
      <c r="G847" s="1">
        <v>45809</v>
      </c>
      <c r="H847">
        <v>184</v>
      </c>
      <c r="I847">
        <v>4</v>
      </c>
      <c r="J847">
        <v>0.9</v>
      </c>
      <c r="K847">
        <v>2432</v>
      </c>
      <c r="L847" t="s">
        <v>17</v>
      </c>
    </row>
    <row r="848" spans="1:12" x14ac:dyDescent="0.3">
      <c r="A848">
        <v>72</v>
      </c>
      <c r="B848" t="s">
        <v>180</v>
      </c>
      <c r="C848" t="s">
        <v>181</v>
      </c>
      <c r="D848" t="s">
        <v>32</v>
      </c>
      <c r="E848" t="s">
        <v>50</v>
      </c>
      <c r="F848" t="s">
        <v>51</v>
      </c>
      <c r="G848" s="1">
        <v>45839</v>
      </c>
      <c r="H848">
        <v>194</v>
      </c>
      <c r="I848">
        <v>2</v>
      </c>
      <c r="J848">
        <v>0.85</v>
      </c>
      <c r="K848">
        <v>2537</v>
      </c>
      <c r="L848" t="s">
        <v>18</v>
      </c>
    </row>
    <row r="849" spans="1:12" x14ac:dyDescent="0.3">
      <c r="A849">
        <v>72</v>
      </c>
      <c r="B849" t="s">
        <v>180</v>
      </c>
      <c r="C849" t="s">
        <v>181</v>
      </c>
      <c r="D849" t="s">
        <v>32</v>
      </c>
      <c r="E849" t="s">
        <v>50</v>
      </c>
      <c r="F849" t="s">
        <v>51</v>
      </c>
      <c r="G849" s="1">
        <v>45870</v>
      </c>
      <c r="H849">
        <v>219</v>
      </c>
      <c r="I849">
        <v>8</v>
      </c>
      <c r="J849">
        <v>0.96</v>
      </c>
      <c r="K849">
        <v>2799.5</v>
      </c>
      <c r="L849" t="s">
        <v>18</v>
      </c>
    </row>
    <row r="850" spans="1:12" x14ac:dyDescent="0.3">
      <c r="A850">
        <v>72</v>
      </c>
      <c r="B850" t="s">
        <v>180</v>
      </c>
      <c r="C850" t="s">
        <v>181</v>
      </c>
      <c r="D850" t="s">
        <v>32</v>
      </c>
      <c r="E850" t="s">
        <v>50</v>
      </c>
      <c r="F850" t="s">
        <v>51</v>
      </c>
      <c r="G850" s="1">
        <v>45901</v>
      </c>
      <c r="H850">
        <v>374</v>
      </c>
      <c r="I850">
        <v>9</v>
      </c>
      <c r="J850">
        <v>0.94</v>
      </c>
      <c r="K850">
        <v>4427</v>
      </c>
      <c r="L850" t="s">
        <v>18</v>
      </c>
    </row>
    <row r="851" spans="1:12" x14ac:dyDescent="0.3">
      <c r="A851">
        <v>72</v>
      </c>
      <c r="B851" t="s">
        <v>180</v>
      </c>
      <c r="C851" t="s">
        <v>181</v>
      </c>
      <c r="D851" t="s">
        <v>32</v>
      </c>
      <c r="E851" t="s">
        <v>50</v>
      </c>
      <c r="F851" t="s">
        <v>51</v>
      </c>
      <c r="G851" s="1">
        <v>45931</v>
      </c>
      <c r="H851">
        <v>192</v>
      </c>
      <c r="I851">
        <v>3</v>
      </c>
      <c r="J851">
        <v>0.85</v>
      </c>
      <c r="K851">
        <v>2516</v>
      </c>
      <c r="L851" t="s">
        <v>18</v>
      </c>
    </row>
    <row r="852" spans="1:12" x14ac:dyDescent="0.3">
      <c r="A852">
        <v>72</v>
      </c>
      <c r="B852" t="s">
        <v>180</v>
      </c>
      <c r="C852" t="s">
        <v>181</v>
      </c>
      <c r="D852" t="s">
        <v>32</v>
      </c>
      <c r="E852" t="s">
        <v>50</v>
      </c>
      <c r="F852" t="s">
        <v>51</v>
      </c>
      <c r="G852" s="1">
        <v>45962</v>
      </c>
      <c r="H852">
        <v>335</v>
      </c>
      <c r="I852">
        <v>7</v>
      </c>
      <c r="J852">
        <v>0.95</v>
      </c>
      <c r="K852">
        <v>4017.5</v>
      </c>
      <c r="L852" t="s">
        <v>18</v>
      </c>
    </row>
    <row r="853" spans="1:12" x14ac:dyDescent="0.3">
      <c r="A853">
        <v>72</v>
      </c>
      <c r="B853" t="s">
        <v>180</v>
      </c>
      <c r="C853" t="s">
        <v>181</v>
      </c>
      <c r="D853" t="s">
        <v>32</v>
      </c>
      <c r="E853" t="s">
        <v>50</v>
      </c>
      <c r="F853" t="s">
        <v>51</v>
      </c>
      <c r="G853" s="1">
        <v>45992</v>
      </c>
      <c r="H853">
        <v>396</v>
      </c>
      <c r="I853">
        <v>10</v>
      </c>
      <c r="J853">
        <v>0.99</v>
      </c>
      <c r="K853">
        <v>4658</v>
      </c>
      <c r="L853" t="s">
        <v>18</v>
      </c>
    </row>
    <row r="854" spans="1:12" x14ac:dyDescent="0.3">
      <c r="A854">
        <v>73</v>
      </c>
      <c r="B854" t="s">
        <v>182</v>
      </c>
      <c r="C854" t="s">
        <v>183</v>
      </c>
      <c r="D854" t="s">
        <v>42</v>
      </c>
      <c r="E854" t="s">
        <v>54</v>
      </c>
      <c r="F854" t="s">
        <v>51</v>
      </c>
      <c r="G854" s="1">
        <v>45658</v>
      </c>
      <c r="H854">
        <v>299</v>
      </c>
      <c r="I854">
        <v>8</v>
      </c>
      <c r="J854">
        <v>0.93</v>
      </c>
      <c r="K854">
        <v>1510.2</v>
      </c>
      <c r="L854" t="s">
        <v>18</v>
      </c>
    </row>
    <row r="855" spans="1:12" x14ac:dyDescent="0.3">
      <c r="A855">
        <v>73</v>
      </c>
      <c r="B855" t="s">
        <v>182</v>
      </c>
      <c r="C855" t="s">
        <v>183</v>
      </c>
      <c r="D855" t="s">
        <v>42</v>
      </c>
      <c r="E855" t="s">
        <v>54</v>
      </c>
      <c r="F855" t="s">
        <v>51</v>
      </c>
      <c r="G855" s="1">
        <v>45689</v>
      </c>
      <c r="H855">
        <v>277</v>
      </c>
      <c r="I855">
        <v>7</v>
      </c>
      <c r="J855">
        <v>0.99</v>
      </c>
      <c r="K855">
        <v>1404.6</v>
      </c>
      <c r="L855" t="s">
        <v>18</v>
      </c>
    </row>
    <row r="856" spans="1:12" x14ac:dyDescent="0.3">
      <c r="A856">
        <v>73</v>
      </c>
      <c r="B856" t="s">
        <v>182</v>
      </c>
      <c r="C856" t="s">
        <v>183</v>
      </c>
      <c r="D856" t="s">
        <v>42</v>
      </c>
      <c r="E856" t="s">
        <v>54</v>
      </c>
      <c r="F856" t="s">
        <v>51</v>
      </c>
      <c r="G856" s="1">
        <v>45717</v>
      </c>
      <c r="H856">
        <v>218</v>
      </c>
      <c r="I856">
        <v>6</v>
      </c>
      <c r="J856">
        <v>0.92</v>
      </c>
      <c r="K856">
        <v>1121.4000000000001</v>
      </c>
      <c r="L856" t="s">
        <v>18</v>
      </c>
    </row>
    <row r="857" spans="1:12" x14ac:dyDescent="0.3">
      <c r="A857">
        <v>73</v>
      </c>
      <c r="B857" t="s">
        <v>182</v>
      </c>
      <c r="C857" t="s">
        <v>183</v>
      </c>
      <c r="D857" t="s">
        <v>42</v>
      </c>
      <c r="E857" t="s">
        <v>54</v>
      </c>
      <c r="F857" t="s">
        <v>51</v>
      </c>
      <c r="G857" s="1">
        <v>45748</v>
      </c>
      <c r="H857">
        <v>335</v>
      </c>
      <c r="I857">
        <v>9</v>
      </c>
      <c r="J857">
        <v>0.87</v>
      </c>
      <c r="K857">
        <v>1683</v>
      </c>
      <c r="L857" t="s">
        <v>18</v>
      </c>
    </row>
    <row r="858" spans="1:12" x14ac:dyDescent="0.3">
      <c r="A858">
        <v>73</v>
      </c>
      <c r="B858" t="s">
        <v>182</v>
      </c>
      <c r="C858" t="s">
        <v>183</v>
      </c>
      <c r="D858" t="s">
        <v>42</v>
      </c>
      <c r="E858" t="s">
        <v>54</v>
      </c>
      <c r="F858" t="s">
        <v>51</v>
      </c>
      <c r="G858" s="1">
        <v>45778</v>
      </c>
      <c r="H858">
        <v>339</v>
      </c>
      <c r="I858">
        <v>9</v>
      </c>
      <c r="J858">
        <v>0.92</v>
      </c>
      <c r="K858">
        <v>1702.2</v>
      </c>
      <c r="L858" t="s">
        <v>17</v>
      </c>
    </row>
    <row r="859" spans="1:12" x14ac:dyDescent="0.3">
      <c r="A859">
        <v>73</v>
      </c>
      <c r="B859" t="s">
        <v>182</v>
      </c>
      <c r="C859" t="s">
        <v>183</v>
      </c>
      <c r="D859" t="s">
        <v>42</v>
      </c>
      <c r="E859" t="s">
        <v>54</v>
      </c>
      <c r="F859" t="s">
        <v>51</v>
      </c>
      <c r="G859" s="1">
        <v>45809</v>
      </c>
      <c r="H859">
        <v>212</v>
      </c>
      <c r="I859">
        <v>3</v>
      </c>
      <c r="J859">
        <v>0.86</v>
      </c>
      <c r="K859">
        <v>1092.5999999999999</v>
      </c>
      <c r="L859" t="s">
        <v>17</v>
      </c>
    </row>
    <row r="860" spans="1:12" x14ac:dyDescent="0.3">
      <c r="A860">
        <v>73</v>
      </c>
      <c r="B860" t="s">
        <v>182</v>
      </c>
      <c r="C860" t="s">
        <v>183</v>
      </c>
      <c r="D860" t="s">
        <v>42</v>
      </c>
      <c r="E860" t="s">
        <v>54</v>
      </c>
      <c r="F860" t="s">
        <v>51</v>
      </c>
      <c r="G860" s="1">
        <v>45839</v>
      </c>
      <c r="H860">
        <v>294</v>
      </c>
      <c r="I860">
        <v>2</v>
      </c>
      <c r="J860">
        <v>0.94</v>
      </c>
      <c r="K860">
        <v>1486.2</v>
      </c>
      <c r="L860" t="s">
        <v>18</v>
      </c>
    </row>
    <row r="861" spans="1:12" x14ac:dyDescent="0.3">
      <c r="A861">
        <v>73</v>
      </c>
      <c r="B861" t="s">
        <v>182</v>
      </c>
      <c r="C861" t="s">
        <v>183</v>
      </c>
      <c r="D861" t="s">
        <v>42</v>
      </c>
      <c r="E861" t="s">
        <v>54</v>
      </c>
      <c r="F861" t="s">
        <v>51</v>
      </c>
      <c r="G861" s="1">
        <v>45870</v>
      </c>
      <c r="H861">
        <v>236</v>
      </c>
      <c r="I861">
        <v>2</v>
      </c>
      <c r="J861">
        <v>0.86</v>
      </c>
      <c r="K861">
        <v>1207.8</v>
      </c>
      <c r="L861" t="s">
        <v>18</v>
      </c>
    </row>
    <row r="862" spans="1:12" x14ac:dyDescent="0.3">
      <c r="A862">
        <v>73</v>
      </c>
      <c r="B862" t="s">
        <v>182</v>
      </c>
      <c r="C862" t="s">
        <v>183</v>
      </c>
      <c r="D862" t="s">
        <v>42</v>
      </c>
      <c r="E862" t="s">
        <v>54</v>
      </c>
      <c r="F862" t="s">
        <v>51</v>
      </c>
      <c r="G862" s="1">
        <v>45901</v>
      </c>
      <c r="H862">
        <v>198</v>
      </c>
      <c r="I862">
        <v>9</v>
      </c>
      <c r="J862">
        <v>0.88</v>
      </c>
      <c r="K862">
        <v>1025.4000000000001</v>
      </c>
      <c r="L862" t="s">
        <v>18</v>
      </c>
    </row>
    <row r="863" spans="1:12" x14ac:dyDescent="0.3">
      <c r="A863">
        <v>73</v>
      </c>
      <c r="B863" t="s">
        <v>182</v>
      </c>
      <c r="C863" t="s">
        <v>183</v>
      </c>
      <c r="D863" t="s">
        <v>42</v>
      </c>
      <c r="E863" t="s">
        <v>54</v>
      </c>
      <c r="F863" t="s">
        <v>51</v>
      </c>
      <c r="G863" s="1">
        <v>45931</v>
      </c>
      <c r="H863">
        <v>156</v>
      </c>
      <c r="I863">
        <v>5</v>
      </c>
      <c r="J863">
        <v>0.91</v>
      </c>
      <c r="K863">
        <v>823.8</v>
      </c>
      <c r="L863" t="s">
        <v>17</v>
      </c>
    </row>
    <row r="864" spans="1:12" x14ac:dyDescent="0.3">
      <c r="A864">
        <v>73</v>
      </c>
      <c r="B864" t="s">
        <v>182</v>
      </c>
      <c r="C864" t="s">
        <v>183</v>
      </c>
      <c r="D864" t="s">
        <v>42</v>
      </c>
      <c r="E864" t="s">
        <v>54</v>
      </c>
      <c r="F864" t="s">
        <v>51</v>
      </c>
      <c r="G864" s="1">
        <v>45962</v>
      </c>
      <c r="H864">
        <v>179</v>
      </c>
      <c r="I864">
        <v>10</v>
      </c>
      <c r="J864">
        <v>0.85</v>
      </c>
      <c r="K864">
        <v>934.2</v>
      </c>
      <c r="L864" t="s">
        <v>18</v>
      </c>
    </row>
    <row r="865" spans="1:12" x14ac:dyDescent="0.3">
      <c r="A865">
        <v>73</v>
      </c>
      <c r="B865" t="s">
        <v>182</v>
      </c>
      <c r="C865" t="s">
        <v>183</v>
      </c>
      <c r="D865" t="s">
        <v>42</v>
      </c>
      <c r="E865" t="s">
        <v>54</v>
      </c>
      <c r="F865" t="s">
        <v>51</v>
      </c>
      <c r="G865" s="1">
        <v>45992</v>
      </c>
      <c r="H865">
        <v>238</v>
      </c>
      <c r="I865">
        <v>4</v>
      </c>
      <c r="J865">
        <v>0.92</v>
      </c>
      <c r="K865">
        <v>1217.4000000000001</v>
      </c>
      <c r="L865" t="s">
        <v>18</v>
      </c>
    </row>
    <row r="866" spans="1:12" x14ac:dyDescent="0.3">
      <c r="A866">
        <v>74</v>
      </c>
      <c r="B866" t="s">
        <v>184</v>
      </c>
      <c r="C866" t="s">
        <v>185</v>
      </c>
      <c r="D866" t="s">
        <v>14</v>
      </c>
      <c r="E866" t="s">
        <v>57</v>
      </c>
      <c r="F866" t="s">
        <v>51</v>
      </c>
      <c r="G866" s="1">
        <v>45658</v>
      </c>
      <c r="H866">
        <v>311</v>
      </c>
      <c r="I866">
        <v>10</v>
      </c>
      <c r="J866">
        <v>0.87</v>
      </c>
      <c r="K866">
        <v>2121.5</v>
      </c>
      <c r="L866" t="s">
        <v>18</v>
      </c>
    </row>
    <row r="867" spans="1:12" x14ac:dyDescent="0.3">
      <c r="A867">
        <v>74</v>
      </c>
      <c r="B867" t="s">
        <v>184</v>
      </c>
      <c r="C867" t="s">
        <v>185</v>
      </c>
      <c r="D867" t="s">
        <v>14</v>
      </c>
      <c r="E867" t="s">
        <v>57</v>
      </c>
      <c r="F867" t="s">
        <v>51</v>
      </c>
      <c r="G867" s="1">
        <v>45689</v>
      </c>
      <c r="H867">
        <v>395</v>
      </c>
      <c r="I867">
        <v>4</v>
      </c>
      <c r="J867">
        <v>0.97</v>
      </c>
      <c r="K867">
        <v>2667.5</v>
      </c>
      <c r="L867" t="s">
        <v>18</v>
      </c>
    </row>
    <row r="868" spans="1:12" x14ac:dyDescent="0.3">
      <c r="A868">
        <v>74</v>
      </c>
      <c r="B868" t="s">
        <v>184</v>
      </c>
      <c r="C868" t="s">
        <v>185</v>
      </c>
      <c r="D868" t="s">
        <v>14</v>
      </c>
      <c r="E868" t="s">
        <v>57</v>
      </c>
      <c r="F868" t="s">
        <v>51</v>
      </c>
      <c r="G868" s="1">
        <v>45717</v>
      </c>
      <c r="H868">
        <v>328</v>
      </c>
      <c r="I868">
        <v>3</v>
      </c>
      <c r="J868">
        <v>0.98</v>
      </c>
      <c r="K868">
        <v>2232</v>
      </c>
      <c r="L868" t="s">
        <v>18</v>
      </c>
    </row>
    <row r="869" spans="1:12" x14ac:dyDescent="0.3">
      <c r="A869">
        <v>74</v>
      </c>
      <c r="B869" t="s">
        <v>184</v>
      </c>
      <c r="C869" t="s">
        <v>185</v>
      </c>
      <c r="D869" t="s">
        <v>14</v>
      </c>
      <c r="E869" t="s">
        <v>57</v>
      </c>
      <c r="F869" t="s">
        <v>51</v>
      </c>
      <c r="G869" s="1">
        <v>45748</v>
      </c>
      <c r="H869">
        <v>391</v>
      </c>
      <c r="I869">
        <v>6</v>
      </c>
      <c r="J869">
        <v>0.85</v>
      </c>
      <c r="K869">
        <v>2641.5</v>
      </c>
      <c r="L869" t="s">
        <v>18</v>
      </c>
    </row>
    <row r="870" spans="1:12" x14ac:dyDescent="0.3">
      <c r="A870">
        <v>74</v>
      </c>
      <c r="B870" t="s">
        <v>184</v>
      </c>
      <c r="C870" t="s">
        <v>185</v>
      </c>
      <c r="D870" t="s">
        <v>14</v>
      </c>
      <c r="E870" t="s">
        <v>57</v>
      </c>
      <c r="F870" t="s">
        <v>51</v>
      </c>
      <c r="G870" s="1">
        <v>45778</v>
      </c>
      <c r="H870">
        <v>229</v>
      </c>
      <c r="I870">
        <v>6</v>
      </c>
      <c r="J870">
        <v>0.99</v>
      </c>
      <c r="K870">
        <v>1588.5</v>
      </c>
      <c r="L870" t="s">
        <v>18</v>
      </c>
    </row>
    <row r="871" spans="1:12" x14ac:dyDescent="0.3">
      <c r="A871">
        <v>74</v>
      </c>
      <c r="B871" t="s">
        <v>184</v>
      </c>
      <c r="C871" t="s">
        <v>185</v>
      </c>
      <c r="D871" t="s">
        <v>14</v>
      </c>
      <c r="E871" t="s">
        <v>57</v>
      </c>
      <c r="F871" t="s">
        <v>51</v>
      </c>
      <c r="G871" s="1">
        <v>45809</v>
      </c>
      <c r="H871">
        <v>152</v>
      </c>
      <c r="I871">
        <v>6</v>
      </c>
      <c r="J871">
        <v>0.89</v>
      </c>
      <c r="K871">
        <v>1088</v>
      </c>
      <c r="L871" t="s">
        <v>18</v>
      </c>
    </row>
    <row r="872" spans="1:12" x14ac:dyDescent="0.3">
      <c r="A872">
        <v>74</v>
      </c>
      <c r="B872" t="s">
        <v>184</v>
      </c>
      <c r="C872" t="s">
        <v>185</v>
      </c>
      <c r="D872" t="s">
        <v>14</v>
      </c>
      <c r="E872" t="s">
        <v>57</v>
      </c>
      <c r="F872" t="s">
        <v>51</v>
      </c>
      <c r="G872" s="1">
        <v>45839</v>
      </c>
      <c r="H872">
        <v>324</v>
      </c>
      <c r="I872">
        <v>7</v>
      </c>
      <c r="J872">
        <v>0.99</v>
      </c>
      <c r="K872">
        <v>2206</v>
      </c>
      <c r="L872" t="s">
        <v>18</v>
      </c>
    </row>
    <row r="873" spans="1:12" x14ac:dyDescent="0.3">
      <c r="A873">
        <v>74</v>
      </c>
      <c r="B873" t="s">
        <v>184</v>
      </c>
      <c r="C873" t="s">
        <v>185</v>
      </c>
      <c r="D873" t="s">
        <v>14</v>
      </c>
      <c r="E873" t="s">
        <v>57</v>
      </c>
      <c r="F873" t="s">
        <v>51</v>
      </c>
      <c r="G873" s="1">
        <v>45870</v>
      </c>
      <c r="H873">
        <v>187</v>
      </c>
      <c r="I873">
        <v>9</v>
      </c>
      <c r="J873">
        <v>0.86</v>
      </c>
      <c r="K873">
        <v>1315.5</v>
      </c>
      <c r="L873" t="s">
        <v>18</v>
      </c>
    </row>
    <row r="874" spans="1:12" x14ac:dyDescent="0.3">
      <c r="A874">
        <v>74</v>
      </c>
      <c r="B874" t="s">
        <v>184</v>
      </c>
      <c r="C874" t="s">
        <v>185</v>
      </c>
      <c r="D874" t="s">
        <v>14</v>
      </c>
      <c r="E874" t="s">
        <v>57</v>
      </c>
      <c r="F874" t="s">
        <v>51</v>
      </c>
      <c r="G874" s="1">
        <v>45901</v>
      </c>
      <c r="H874">
        <v>188</v>
      </c>
      <c r="I874">
        <v>4</v>
      </c>
      <c r="J874">
        <v>0.95</v>
      </c>
      <c r="K874">
        <v>1322</v>
      </c>
      <c r="L874" t="s">
        <v>18</v>
      </c>
    </row>
    <row r="875" spans="1:12" x14ac:dyDescent="0.3">
      <c r="A875">
        <v>74</v>
      </c>
      <c r="B875" t="s">
        <v>184</v>
      </c>
      <c r="C875" t="s">
        <v>185</v>
      </c>
      <c r="D875" t="s">
        <v>14</v>
      </c>
      <c r="E875" t="s">
        <v>57</v>
      </c>
      <c r="F875" t="s">
        <v>51</v>
      </c>
      <c r="G875" s="1">
        <v>45931</v>
      </c>
      <c r="H875">
        <v>396</v>
      </c>
      <c r="I875">
        <v>6</v>
      </c>
      <c r="J875">
        <v>0.92</v>
      </c>
      <c r="K875">
        <v>2674</v>
      </c>
      <c r="L875" t="s">
        <v>18</v>
      </c>
    </row>
    <row r="876" spans="1:12" x14ac:dyDescent="0.3">
      <c r="A876">
        <v>74</v>
      </c>
      <c r="B876" t="s">
        <v>184</v>
      </c>
      <c r="C876" t="s">
        <v>185</v>
      </c>
      <c r="D876" t="s">
        <v>14</v>
      </c>
      <c r="E876" t="s">
        <v>57</v>
      </c>
      <c r="F876" t="s">
        <v>51</v>
      </c>
      <c r="G876" s="1">
        <v>45962</v>
      </c>
      <c r="H876">
        <v>208</v>
      </c>
      <c r="I876">
        <v>9</v>
      </c>
      <c r="J876">
        <v>0.93</v>
      </c>
      <c r="K876">
        <v>1452</v>
      </c>
      <c r="L876" t="s">
        <v>17</v>
      </c>
    </row>
    <row r="877" spans="1:12" x14ac:dyDescent="0.3">
      <c r="A877">
        <v>74</v>
      </c>
      <c r="B877" t="s">
        <v>184</v>
      </c>
      <c r="C877" t="s">
        <v>185</v>
      </c>
      <c r="D877" t="s">
        <v>14</v>
      </c>
      <c r="E877" t="s">
        <v>57</v>
      </c>
      <c r="F877" t="s">
        <v>51</v>
      </c>
      <c r="G877" s="1">
        <v>45992</v>
      </c>
      <c r="H877">
        <v>353</v>
      </c>
      <c r="I877">
        <v>9</v>
      </c>
      <c r="J877">
        <v>0.91</v>
      </c>
      <c r="K877">
        <v>2394.5</v>
      </c>
      <c r="L877" t="s">
        <v>18</v>
      </c>
    </row>
    <row r="878" spans="1:12" x14ac:dyDescent="0.3">
      <c r="A878">
        <v>75</v>
      </c>
      <c r="B878" t="s">
        <v>186</v>
      </c>
      <c r="C878" t="s">
        <v>187</v>
      </c>
      <c r="D878" t="s">
        <v>24</v>
      </c>
      <c r="E878" t="s">
        <v>33</v>
      </c>
      <c r="F878" t="s">
        <v>34</v>
      </c>
      <c r="G878" s="1">
        <v>45658</v>
      </c>
      <c r="H878">
        <v>347</v>
      </c>
      <c r="I878">
        <v>8</v>
      </c>
      <c r="J878">
        <v>0.95</v>
      </c>
      <c r="K878">
        <v>3095.4</v>
      </c>
      <c r="L878" t="s">
        <v>18</v>
      </c>
    </row>
    <row r="879" spans="1:12" x14ac:dyDescent="0.3">
      <c r="A879">
        <v>75</v>
      </c>
      <c r="B879" t="s">
        <v>186</v>
      </c>
      <c r="C879" t="s">
        <v>187</v>
      </c>
      <c r="D879" t="s">
        <v>24</v>
      </c>
      <c r="E879" t="s">
        <v>33</v>
      </c>
      <c r="F879" t="s">
        <v>34</v>
      </c>
      <c r="G879" s="1">
        <v>45689</v>
      </c>
      <c r="H879">
        <v>396</v>
      </c>
      <c r="I879">
        <v>6</v>
      </c>
      <c r="J879">
        <v>0.96</v>
      </c>
      <c r="K879">
        <v>3497.2</v>
      </c>
      <c r="L879" t="s">
        <v>18</v>
      </c>
    </row>
    <row r="880" spans="1:12" x14ac:dyDescent="0.3">
      <c r="A880">
        <v>75</v>
      </c>
      <c r="B880" t="s">
        <v>186</v>
      </c>
      <c r="C880" t="s">
        <v>187</v>
      </c>
      <c r="D880" t="s">
        <v>24</v>
      </c>
      <c r="E880" t="s">
        <v>33</v>
      </c>
      <c r="F880" t="s">
        <v>34</v>
      </c>
      <c r="G880" s="1">
        <v>45717</v>
      </c>
      <c r="H880">
        <v>227</v>
      </c>
      <c r="I880">
        <v>5</v>
      </c>
      <c r="J880">
        <v>0.95</v>
      </c>
      <c r="K880">
        <v>2111.4</v>
      </c>
      <c r="L880" t="s">
        <v>18</v>
      </c>
    </row>
    <row r="881" spans="1:12" x14ac:dyDescent="0.3">
      <c r="A881">
        <v>75</v>
      </c>
      <c r="B881" t="s">
        <v>186</v>
      </c>
      <c r="C881" t="s">
        <v>187</v>
      </c>
      <c r="D881" t="s">
        <v>24</v>
      </c>
      <c r="E881" t="s">
        <v>33</v>
      </c>
      <c r="F881" t="s">
        <v>34</v>
      </c>
      <c r="G881" s="1">
        <v>45748</v>
      </c>
      <c r="H881">
        <v>299</v>
      </c>
      <c r="I881">
        <v>5</v>
      </c>
      <c r="J881">
        <v>0.85</v>
      </c>
      <c r="K881">
        <v>2701.8</v>
      </c>
      <c r="L881" t="s">
        <v>18</v>
      </c>
    </row>
    <row r="882" spans="1:12" x14ac:dyDescent="0.3">
      <c r="A882">
        <v>75</v>
      </c>
      <c r="B882" t="s">
        <v>186</v>
      </c>
      <c r="C882" t="s">
        <v>187</v>
      </c>
      <c r="D882" t="s">
        <v>24</v>
      </c>
      <c r="E882" t="s">
        <v>33</v>
      </c>
      <c r="F882" t="s">
        <v>34</v>
      </c>
      <c r="G882" s="1">
        <v>45778</v>
      </c>
      <c r="H882">
        <v>382</v>
      </c>
      <c r="I882">
        <v>10</v>
      </c>
      <c r="J882">
        <v>0.88</v>
      </c>
      <c r="K882">
        <v>3382.4</v>
      </c>
      <c r="L882" t="s">
        <v>18</v>
      </c>
    </row>
    <row r="883" spans="1:12" x14ac:dyDescent="0.3">
      <c r="A883">
        <v>75</v>
      </c>
      <c r="B883" t="s">
        <v>186</v>
      </c>
      <c r="C883" t="s">
        <v>187</v>
      </c>
      <c r="D883" t="s">
        <v>24</v>
      </c>
      <c r="E883" t="s">
        <v>33</v>
      </c>
      <c r="F883" t="s">
        <v>34</v>
      </c>
      <c r="G883" s="1">
        <v>45809</v>
      </c>
      <c r="H883">
        <v>151</v>
      </c>
      <c r="I883">
        <v>2</v>
      </c>
      <c r="J883">
        <v>0.97</v>
      </c>
      <c r="K883">
        <v>1488.2</v>
      </c>
      <c r="L883" t="s">
        <v>18</v>
      </c>
    </row>
    <row r="884" spans="1:12" x14ac:dyDescent="0.3">
      <c r="A884">
        <v>75</v>
      </c>
      <c r="B884" t="s">
        <v>186</v>
      </c>
      <c r="C884" t="s">
        <v>187</v>
      </c>
      <c r="D884" t="s">
        <v>24</v>
      </c>
      <c r="E884" t="s">
        <v>33</v>
      </c>
      <c r="F884" t="s">
        <v>34</v>
      </c>
      <c r="G884" s="1">
        <v>45839</v>
      </c>
      <c r="H884">
        <v>230</v>
      </c>
      <c r="I884">
        <v>6</v>
      </c>
      <c r="J884">
        <v>0.86</v>
      </c>
      <c r="K884">
        <v>2136</v>
      </c>
      <c r="L884" t="s">
        <v>17</v>
      </c>
    </row>
    <row r="885" spans="1:12" x14ac:dyDescent="0.3">
      <c r="A885">
        <v>75</v>
      </c>
      <c r="B885" t="s">
        <v>186</v>
      </c>
      <c r="C885" t="s">
        <v>187</v>
      </c>
      <c r="D885" t="s">
        <v>24</v>
      </c>
      <c r="E885" t="s">
        <v>33</v>
      </c>
      <c r="F885" t="s">
        <v>34</v>
      </c>
      <c r="G885" s="1">
        <v>45870</v>
      </c>
      <c r="H885">
        <v>341</v>
      </c>
      <c r="I885">
        <v>10</v>
      </c>
      <c r="J885">
        <v>0.87</v>
      </c>
      <c r="K885">
        <v>3046.2</v>
      </c>
      <c r="L885" t="s">
        <v>18</v>
      </c>
    </row>
    <row r="886" spans="1:12" x14ac:dyDescent="0.3">
      <c r="A886">
        <v>75</v>
      </c>
      <c r="B886" t="s">
        <v>186</v>
      </c>
      <c r="C886" t="s">
        <v>187</v>
      </c>
      <c r="D886" t="s">
        <v>24</v>
      </c>
      <c r="E886" t="s">
        <v>33</v>
      </c>
      <c r="F886" t="s">
        <v>34</v>
      </c>
      <c r="G886" s="1">
        <v>45901</v>
      </c>
      <c r="H886">
        <v>271</v>
      </c>
      <c r="I886">
        <v>7</v>
      </c>
      <c r="J886">
        <v>0.9</v>
      </c>
      <c r="K886">
        <v>2472.1999999999998</v>
      </c>
      <c r="L886" t="s">
        <v>18</v>
      </c>
    </row>
    <row r="887" spans="1:12" x14ac:dyDescent="0.3">
      <c r="A887">
        <v>75</v>
      </c>
      <c r="B887" t="s">
        <v>186</v>
      </c>
      <c r="C887" t="s">
        <v>187</v>
      </c>
      <c r="D887" t="s">
        <v>24</v>
      </c>
      <c r="E887" t="s">
        <v>33</v>
      </c>
      <c r="F887" t="s">
        <v>34</v>
      </c>
      <c r="G887" s="1">
        <v>45931</v>
      </c>
      <c r="H887">
        <v>347</v>
      </c>
      <c r="I887">
        <v>6</v>
      </c>
      <c r="J887">
        <v>0.95</v>
      </c>
      <c r="K887">
        <v>3095.4</v>
      </c>
      <c r="L887" t="s">
        <v>18</v>
      </c>
    </row>
    <row r="888" spans="1:12" x14ac:dyDescent="0.3">
      <c r="A888">
        <v>75</v>
      </c>
      <c r="B888" t="s">
        <v>186</v>
      </c>
      <c r="C888" t="s">
        <v>187</v>
      </c>
      <c r="D888" t="s">
        <v>24</v>
      </c>
      <c r="E888" t="s">
        <v>33</v>
      </c>
      <c r="F888" t="s">
        <v>34</v>
      </c>
      <c r="G888" s="1">
        <v>45962</v>
      </c>
      <c r="H888">
        <v>323</v>
      </c>
      <c r="I888">
        <v>10</v>
      </c>
      <c r="J888">
        <v>0.91</v>
      </c>
      <c r="K888">
        <v>2898.6</v>
      </c>
      <c r="L888" t="s">
        <v>18</v>
      </c>
    </row>
    <row r="889" spans="1:12" x14ac:dyDescent="0.3">
      <c r="A889">
        <v>75</v>
      </c>
      <c r="B889" t="s">
        <v>186</v>
      </c>
      <c r="C889" t="s">
        <v>187</v>
      </c>
      <c r="D889" t="s">
        <v>24</v>
      </c>
      <c r="E889" t="s">
        <v>33</v>
      </c>
      <c r="F889" t="s">
        <v>34</v>
      </c>
      <c r="G889" s="1">
        <v>45992</v>
      </c>
      <c r="H889">
        <v>378</v>
      </c>
      <c r="I889">
        <v>3</v>
      </c>
      <c r="J889">
        <v>0.85</v>
      </c>
      <c r="K889">
        <v>3349.6</v>
      </c>
      <c r="L889" t="s">
        <v>18</v>
      </c>
    </row>
    <row r="890" spans="1:12" x14ac:dyDescent="0.3">
      <c r="A890">
        <v>76</v>
      </c>
      <c r="B890" t="s">
        <v>188</v>
      </c>
      <c r="C890" t="s">
        <v>189</v>
      </c>
      <c r="D890" t="s">
        <v>32</v>
      </c>
      <c r="E890" t="s">
        <v>62</v>
      </c>
      <c r="F890" t="s">
        <v>34</v>
      </c>
      <c r="G890" s="1">
        <v>45658</v>
      </c>
      <c r="H890">
        <v>381</v>
      </c>
      <c r="I890">
        <v>2</v>
      </c>
      <c r="J890">
        <v>0.88</v>
      </c>
      <c r="K890">
        <v>4500.5</v>
      </c>
      <c r="L890" t="s">
        <v>18</v>
      </c>
    </row>
    <row r="891" spans="1:12" x14ac:dyDescent="0.3">
      <c r="A891">
        <v>76</v>
      </c>
      <c r="B891" t="s">
        <v>188</v>
      </c>
      <c r="C891" t="s">
        <v>189</v>
      </c>
      <c r="D891" t="s">
        <v>32</v>
      </c>
      <c r="E891" t="s">
        <v>62</v>
      </c>
      <c r="F891" t="s">
        <v>34</v>
      </c>
      <c r="G891" s="1">
        <v>45689</v>
      </c>
      <c r="H891">
        <v>353</v>
      </c>
      <c r="I891">
        <v>5</v>
      </c>
      <c r="J891">
        <v>0.94</v>
      </c>
      <c r="K891">
        <v>4206.5</v>
      </c>
      <c r="L891" t="s">
        <v>18</v>
      </c>
    </row>
    <row r="892" spans="1:12" x14ac:dyDescent="0.3">
      <c r="A892">
        <v>76</v>
      </c>
      <c r="B892" t="s">
        <v>188</v>
      </c>
      <c r="C892" t="s">
        <v>189</v>
      </c>
      <c r="D892" t="s">
        <v>32</v>
      </c>
      <c r="E892" t="s">
        <v>62</v>
      </c>
      <c r="F892" t="s">
        <v>34</v>
      </c>
      <c r="G892" s="1">
        <v>45717</v>
      </c>
      <c r="H892">
        <v>243</v>
      </c>
      <c r="I892">
        <v>10</v>
      </c>
      <c r="J892">
        <v>0.85</v>
      </c>
      <c r="K892">
        <v>3051.5</v>
      </c>
      <c r="L892" t="s">
        <v>17</v>
      </c>
    </row>
    <row r="893" spans="1:12" x14ac:dyDescent="0.3">
      <c r="A893">
        <v>76</v>
      </c>
      <c r="B893" t="s">
        <v>188</v>
      </c>
      <c r="C893" t="s">
        <v>189</v>
      </c>
      <c r="D893" t="s">
        <v>32</v>
      </c>
      <c r="E893" t="s">
        <v>62</v>
      </c>
      <c r="F893" t="s">
        <v>34</v>
      </c>
      <c r="G893" s="1">
        <v>45748</v>
      </c>
      <c r="H893">
        <v>286</v>
      </c>
      <c r="I893">
        <v>3</v>
      </c>
      <c r="J893">
        <v>0.93</v>
      </c>
      <c r="K893">
        <v>3503</v>
      </c>
      <c r="L893" t="s">
        <v>18</v>
      </c>
    </row>
    <row r="894" spans="1:12" x14ac:dyDescent="0.3">
      <c r="A894">
        <v>76</v>
      </c>
      <c r="B894" t="s">
        <v>188</v>
      </c>
      <c r="C894" t="s">
        <v>189</v>
      </c>
      <c r="D894" t="s">
        <v>32</v>
      </c>
      <c r="E894" t="s">
        <v>62</v>
      </c>
      <c r="F894" t="s">
        <v>34</v>
      </c>
      <c r="G894" s="1">
        <v>45778</v>
      </c>
      <c r="H894">
        <v>287</v>
      </c>
      <c r="I894">
        <v>8</v>
      </c>
      <c r="J894">
        <v>0.93</v>
      </c>
      <c r="K894">
        <v>3513.5</v>
      </c>
      <c r="L894" t="s">
        <v>18</v>
      </c>
    </row>
    <row r="895" spans="1:12" x14ac:dyDescent="0.3">
      <c r="A895">
        <v>76</v>
      </c>
      <c r="B895" t="s">
        <v>188</v>
      </c>
      <c r="C895" t="s">
        <v>189</v>
      </c>
      <c r="D895" t="s">
        <v>32</v>
      </c>
      <c r="E895" t="s">
        <v>62</v>
      </c>
      <c r="F895" t="s">
        <v>34</v>
      </c>
      <c r="G895" s="1">
        <v>45809</v>
      </c>
      <c r="H895">
        <v>188</v>
      </c>
      <c r="I895">
        <v>9</v>
      </c>
      <c r="J895">
        <v>0.96</v>
      </c>
      <c r="K895">
        <v>2474</v>
      </c>
      <c r="L895" t="s">
        <v>18</v>
      </c>
    </row>
    <row r="896" spans="1:12" x14ac:dyDescent="0.3">
      <c r="A896">
        <v>76</v>
      </c>
      <c r="B896" t="s">
        <v>188</v>
      </c>
      <c r="C896" t="s">
        <v>189</v>
      </c>
      <c r="D896" t="s">
        <v>32</v>
      </c>
      <c r="E896" t="s">
        <v>62</v>
      </c>
      <c r="F896" t="s">
        <v>34</v>
      </c>
      <c r="G896" s="1">
        <v>45839</v>
      </c>
      <c r="H896">
        <v>190</v>
      </c>
      <c r="I896">
        <v>10</v>
      </c>
      <c r="J896">
        <v>0.91</v>
      </c>
      <c r="K896">
        <v>2495</v>
      </c>
      <c r="L896" t="s">
        <v>17</v>
      </c>
    </row>
    <row r="897" spans="1:12" x14ac:dyDescent="0.3">
      <c r="A897">
        <v>76</v>
      </c>
      <c r="B897" t="s">
        <v>188</v>
      </c>
      <c r="C897" t="s">
        <v>189</v>
      </c>
      <c r="D897" t="s">
        <v>32</v>
      </c>
      <c r="E897" t="s">
        <v>62</v>
      </c>
      <c r="F897" t="s">
        <v>34</v>
      </c>
      <c r="G897" s="1">
        <v>45870</v>
      </c>
      <c r="H897">
        <v>219</v>
      </c>
      <c r="I897">
        <v>5</v>
      </c>
      <c r="J897">
        <v>0.97</v>
      </c>
      <c r="K897">
        <v>2799.5</v>
      </c>
      <c r="L897" t="s">
        <v>18</v>
      </c>
    </row>
    <row r="898" spans="1:12" x14ac:dyDescent="0.3">
      <c r="A898">
        <v>76</v>
      </c>
      <c r="B898" t="s">
        <v>188</v>
      </c>
      <c r="C898" t="s">
        <v>189</v>
      </c>
      <c r="D898" t="s">
        <v>32</v>
      </c>
      <c r="E898" t="s">
        <v>62</v>
      </c>
      <c r="F898" t="s">
        <v>34</v>
      </c>
      <c r="G898" s="1">
        <v>45901</v>
      </c>
      <c r="H898">
        <v>174</v>
      </c>
      <c r="I898">
        <v>4</v>
      </c>
      <c r="J898">
        <v>0.92</v>
      </c>
      <c r="K898">
        <v>2327</v>
      </c>
      <c r="L898" t="s">
        <v>18</v>
      </c>
    </row>
    <row r="899" spans="1:12" x14ac:dyDescent="0.3">
      <c r="A899">
        <v>76</v>
      </c>
      <c r="B899" t="s">
        <v>188</v>
      </c>
      <c r="C899" t="s">
        <v>189</v>
      </c>
      <c r="D899" t="s">
        <v>32</v>
      </c>
      <c r="E899" t="s">
        <v>62</v>
      </c>
      <c r="F899" t="s">
        <v>34</v>
      </c>
      <c r="G899" s="1">
        <v>45931</v>
      </c>
      <c r="H899">
        <v>252</v>
      </c>
      <c r="I899">
        <v>5</v>
      </c>
      <c r="J899">
        <v>0.99</v>
      </c>
      <c r="K899">
        <v>3146</v>
      </c>
      <c r="L899" t="s">
        <v>18</v>
      </c>
    </row>
    <row r="900" spans="1:12" x14ac:dyDescent="0.3">
      <c r="A900">
        <v>76</v>
      </c>
      <c r="B900" t="s">
        <v>188</v>
      </c>
      <c r="C900" t="s">
        <v>189</v>
      </c>
      <c r="D900" t="s">
        <v>32</v>
      </c>
      <c r="E900" t="s">
        <v>62</v>
      </c>
      <c r="F900" t="s">
        <v>34</v>
      </c>
      <c r="G900" s="1">
        <v>45962</v>
      </c>
      <c r="H900">
        <v>277</v>
      </c>
      <c r="I900">
        <v>3</v>
      </c>
      <c r="J900">
        <v>0.95</v>
      </c>
      <c r="K900">
        <v>3408.5</v>
      </c>
      <c r="L900" t="s">
        <v>18</v>
      </c>
    </row>
    <row r="901" spans="1:12" x14ac:dyDescent="0.3">
      <c r="A901">
        <v>76</v>
      </c>
      <c r="B901" t="s">
        <v>188</v>
      </c>
      <c r="C901" t="s">
        <v>189</v>
      </c>
      <c r="D901" t="s">
        <v>32</v>
      </c>
      <c r="E901" t="s">
        <v>62</v>
      </c>
      <c r="F901" t="s">
        <v>34</v>
      </c>
      <c r="G901" s="1">
        <v>45992</v>
      </c>
      <c r="H901">
        <v>244</v>
      </c>
      <c r="I901">
        <v>9</v>
      </c>
      <c r="J901">
        <v>0.9</v>
      </c>
      <c r="K901">
        <v>3062</v>
      </c>
      <c r="L901" t="s">
        <v>17</v>
      </c>
    </row>
    <row r="902" spans="1:12" x14ac:dyDescent="0.3">
      <c r="A902">
        <v>77</v>
      </c>
      <c r="B902" t="s">
        <v>190</v>
      </c>
      <c r="C902" t="s">
        <v>191</v>
      </c>
      <c r="D902" t="s">
        <v>42</v>
      </c>
      <c r="E902" t="s">
        <v>65</v>
      </c>
      <c r="F902" t="s">
        <v>66</v>
      </c>
      <c r="G902" s="1">
        <v>45658</v>
      </c>
      <c r="H902">
        <v>313</v>
      </c>
      <c r="I902">
        <v>10</v>
      </c>
      <c r="J902">
        <v>0.87</v>
      </c>
      <c r="K902">
        <v>1577.4</v>
      </c>
      <c r="L902" t="s">
        <v>18</v>
      </c>
    </row>
    <row r="903" spans="1:12" x14ac:dyDescent="0.3">
      <c r="A903">
        <v>77</v>
      </c>
      <c r="B903" t="s">
        <v>190</v>
      </c>
      <c r="C903" t="s">
        <v>191</v>
      </c>
      <c r="D903" t="s">
        <v>42</v>
      </c>
      <c r="E903" t="s">
        <v>65</v>
      </c>
      <c r="F903" t="s">
        <v>66</v>
      </c>
      <c r="G903" s="1">
        <v>45689</v>
      </c>
      <c r="H903">
        <v>336</v>
      </c>
      <c r="I903">
        <v>10</v>
      </c>
      <c r="J903">
        <v>0.86</v>
      </c>
      <c r="K903">
        <v>1687.8</v>
      </c>
      <c r="L903" t="s">
        <v>18</v>
      </c>
    </row>
    <row r="904" spans="1:12" x14ac:dyDescent="0.3">
      <c r="A904">
        <v>77</v>
      </c>
      <c r="B904" t="s">
        <v>190</v>
      </c>
      <c r="C904" t="s">
        <v>191</v>
      </c>
      <c r="D904" t="s">
        <v>42</v>
      </c>
      <c r="E904" t="s">
        <v>65</v>
      </c>
      <c r="F904" t="s">
        <v>66</v>
      </c>
      <c r="G904" s="1">
        <v>45717</v>
      </c>
      <c r="H904">
        <v>358</v>
      </c>
      <c r="I904">
        <v>9</v>
      </c>
      <c r="J904">
        <v>0.85</v>
      </c>
      <c r="K904">
        <v>1793.4</v>
      </c>
      <c r="L904" t="s">
        <v>18</v>
      </c>
    </row>
    <row r="905" spans="1:12" x14ac:dyDescent="0.3">
      <c r="A905">
        <v>77</v>
      </c>
      <c r="B905" t="s">
        <v>190</v>
      </c>
      <c r="C905" t="s">
        <v>191</v>
      </c>
      <c r="D905" t="s">
        <v>42</v>
      </c>
      <c r="E905" t="s">
        <v>65</v>
      </c>
      <c r="F905" t="s">
        <v>66</v>
      </c>
      <c r="G905" s="1">
        <v>45748</v>
      </c>
      <c r="H905">
        <v>178</v>
      </c>
      <c r="I905">
        <v>9</v>
      </c>
      <c r="J905">
        <v>0.92</v>
      </c>
      <c r="K905">
        <v>929.4</v>
      </c>
      <c r="L905" t="s">
        <v>18</v>
      </c>
    </row>
    <row r="906" spans="1:12" x14ac:dyDescent="0.3">
      <c r="A906">
        <v>77</v>
      </c>
      <c r="B906" t="s">
        <v>190</v>
      </c>
      <c r="C906" t="s">
        <v>191</v>
      </c>
      <c r="D906" t="s">
        <v>42</v>
      </c>
      <c r="E906" t="s">
        <v>65</v>
      </c>
      <c r="F906" t="s">
        <v>66</v>
      </c>
      <c r="G906" s="1">
        <v>45778</v>
      </c>
      <c r="H906">
        <v>366</v>
      </c>
      <c r="I906">
        <v>4</v>
      </c>
      <c r="J906">
        <v>0.89</v>
      </c>
      <c r="K906">
        <v>1831.8</v>
      </c>
      <c r="L906" t="s">
        <v>18</v>
      </c>
    </row>
    <row r="907" spans="1:12" x14ac:dyDescent="0.3">
      <c r="A907">
        <v>77</v>
      </c>
      <c r="B907" t="s">
        <v>190</v>
      </c>
      <c r="C907" t="s">
        <v>191</v>
      </c>
      <c r="D907" t="s">
        <v>42</v>
      </c>
      <c r="E907" t="s">
        <v>65</v>
      </c>
      <c r="F907" t="s">
        <v>66</v>
      </c>
      <c r="G907" s="1">
        <v>45809</v>
      </c>
      <c r="H907">
        <v>393</v>
      </c>
      <c r="I907">
        <v>9</v>
      </c>
      <c r="J907">
        <v>0.85</v>
      </c>
      <c r="K907">
        <v>1961.4</v>
      </c>
      <c r="L907" t="s">
        <v>17</v>
      </c>
    </row>
    <row r="908" spans="1:12" x14ac:dyDescent="0.3">
      <c r="A908">
        <v>77</v>
      </c>
      <c r="B908" t="s">
        <v>190</v>
      </c>
      <c r="C908" t="s">
        <v>191</v>
      </c>
      <c r="D908" t="s">
        <v>42</v>
      </c>
      <c r="E908" t="s">
        <v>65</v>
      </c>
      <c r="F908" t="s">
        <v>66</v>
      </c>
      <c r="G908" s="1">
        <v>45839</v>
      </c>
      <c r="H908">
        <v>188</v>
      </c>
      <c r="I908">
        <v>6</v>
      </c>
      <c r="J908">
        <v>0.93</v>
      </c>
      <c r="K908">
        <v>977.4</v>
      </c>
      <c r="L908" t="s">
        <v>18</v>
      </c>
    </row>
    <row r="909" spans="1:12" x14ac:dyDescent="0.3">
      <c r="A909">
        <v>77</v>
      </c>
      <c r="B909" t="s">
        <v>190</v>
      </c>
      <c r="C909" t="s">
        <v>191</v>
      </c>
      <c r="D909" t="s">
        <v>42</v>
      </c>
      <c r="E909" t="s">
        <v>65</v>
      </c>
      <c r="F909" t="s">
        <v>66</v>
      </c>
      <c r="G909" s="1">
        <v>45870</v>
      </c>
      <c r="H909">
        <v>352</v>
      </c>
      <c r="I909">
        <v>5</v>
      </c>
      <c r="J909">
        <v>0.98</v>
      </c>
      <c r="K909">
        <v>1764.6</v>
      </c>
      <c r="L909" t="s">
        <v>17</v>
      </c>
    </row>
    <row r="910" spans="1:12" x14ac:dyDescent="0.3">
      <c r="A910">
        <v>77</v>
      </c>
      <c r="B910" t="s">
        <v>190</v>
      </c>
      <c r="C910" t="s">
        <v>191</v>
      </c>
      <c r="D910" t="s">
        <v>42</v>
      </c>
      <c r="E910" t="s">
        <v>65</v>
      </c>
      <c r="F910" t="s">
        <v>66</v>
      </c>
      <c r="G910" s="1">
        <v>45901</v>
      </c>
      <c r="H910">
        <v>296</v>
      </c>
      <c r="I910">
        <v>8</v>
      </c>
      <c r="J910">
        <v>0.97</v>
      </c>
      <c r="K910">
        <v>1495.8</v>
      </c>
      <c r="L910" t="s">
        <v>18</v>
      </c>
    </row>
    <row r="911" spans="1:12" x14ac:dyDescent="0.3">
      <c r="A911">
        <v>77</v>
      </c>
      <c r="B911" t="s">
        <v>190</v>
      </c>
      <c r="C911" t="s">
        <v>191</v>
      </c>
      <c r="D911" t="s">
        <v>42</v>
      </c>
      <c r="E911" t="s">
        <v>65</v>
      </c>
      <c r="F911" t="s">
        <v>66</v>
      </c>
      <c r="G911" s="1">
        <v>45931</v>
      </c>
      <c r="H911">
        <v>288</v>
      </c>
      <c r="I911">
        <v>6</v>
      </c>
      <c r="J911">
        <v>0.9</v>
      </c>
      <c r="K911">
        <v>1457.4</v>
      </c>
      <c r="L911" t="s">
        <v>18</v>
      </c>
    </row>
    <row r="912" spans="1:12" x14ac:dyDescent="0.3">
      <c r="A912">
        <v>77</v>
      </c>
      <c r="B912" t="s">
        <v>190</v>
      </c>
      <c r="C912" t="s">
        <v>191</v>
      </c>
      <c r="D912" t="s">
        <v>42</v>
      </c>
      <c r="E912" t="s">
        <v>65</v>
      </c>
      <c r="F912" t="s">
        <v>66</v>
      </c>
      <c r="G912" s="1">
        <v>45962</v>
      </c>
      <c r="H912">
        <v>244</v>
      </c>
      <c r="I912">
        <v>7</v>
      </c>
      <c r="J912">
        <v>0.9</v>
      </c>
      <c r="K912">
        <v>1246.2</v>
      </c>
      <c r="L912" t="s">
        <v>18</v>
      </c>
    </row>
    <row r="913" spans="1:12" x14ac:dyDescent="0.3">
      <c r="A913">
        <v>77</v>
      </c>
      <c r="B913" t="s">
        <v>190</v>
      </c>
      <c r="C913" t="s">
        <v>191</v>
      </c>
      <c r="D913" t="s">
        <v>42</v>
      </c>
      <c r="E913" t="s">
        <v>65</v>
      </c>
      <c r="F913" t="s">
        <v>66</v>
      </c>
      <c r="G913" s="1">
        <v>45992</v>
      </c>
      <c r="H913">
        <v>242</v>
      </c>
      <c r="I913">
        <v>9</v>
      </c>
      <c r="J913">
        <v>0.97</v>
      </c>
      <c r="K913">
        <v>1236.5999999999999</v>
      </c>
      <c r="L913" t="s">
        <v>17</v>
      </c>
    </row>
    <row r="914" spans="1:12" x14ac:dyDescent="0.3">
      <c r="A914">
        <v>78</v>
      </c>
      <c r="B914" t="s">
        <v>192</v>
      </c>
      <c r="C914" t="s">
        <v>193</v>
      </c>
      <c r="D914" t="s">
        <v>14</v>
      </c>
      <c r="E914" t="s">
        <v>69</v>
      </c>
      <c r="F914" t="s">
        <v>66</v>
      </c>
      <c r="G914" s="1">
        <v>45658</v>
      </c>
      <c r="H914">
        <v>273</v>
      </c>
      <c r="I914">
        <v>9</v>
      </c>
      <c r="J914">
        <v>0.95</v>
      </c>
      <c r="K914">
        <v>1874.5</v>
      </c>
      <c r="L914" t="s">
        <v>18</v>
      </c>
    </row>
    <row r="915" spans="1:12" x14ac:dyDescent="0.3">
      <c r="A915">
        <v>78</v>
      </c>
      <c r="B915" t="s">
        <v>192</v>
      </c>
      <c r="C915" t="s">
        <v>193</v>
      </c>
      <c r="D915" t="s">
        <v>14</v>
      </c>
      <c r="E915" t="s">
        <v>69</v>
      </c>
      <c r="F915" t="s">
        <v>66</v>
      </c>
      <c r="G915" s="1">
        <v>45689</v>
      </c>
      <c r="H915">
        <v>188</v>
      </c>
      <c r="I915">
        <v>4</v>
      </c>
      <c r="J915">
        <v>0.87</v>
      </c>
      <c r="K915">
        <v>1322</v>
      </c>
      <c r="L915" t="s">
        <v>18</v>
      </c>
    </row>
    <row r="916" spans="1:12" x14ac:dyDescent="0.3">
      <c r="A916">
        <v>78</v>
      </c>
      <c r="B916" t="s">
        <v>192</v>
      </c>
      <c r="C916" t="s">
        <v>193</v>
      </c>
      <c r="D916" t="s">
        <v>14</v>
      </c>
      <c r="E916" t="s">
        <v>69</v>
      </c>
      <c r="F916" t="s">
        <v>66</v>
      </c>
      <c r="G916" s="1">
        <v>45717</v>
      </c>
      <c r="H916">
        <v>204</v>
      </c>
      <c r="I916">
        <v>10</v>
      </c>
      <c r="J916">
        <v>0.86</v>
      </c>
      <c r="K916">
        <v>1426</v>
      </c>
      <c r="L916" t="s">
        <v>17</v>
      </c>
    </row>
    <row r="917" spans="1:12" x14ac:dyDescent="0.3">
      <c r="A917">
        <v>78</v>
      </c>
      <c r="B917" t="s">
        <v>192</v>
      </c>
      <c r="C917" t="s">
        <v>193</v>
      </c>
      <c r="D917" t="s">
        <v>14</v>
      </c>
      <c r="E917" t="s">
        <v>69</v>
      </c>
      <c r="F917" t="s">
        <v>66</v>
      </c>
      <c r="G917" s="1">
        <v>45748</v>
      </c>
      <c r="H917">
        <v>251</v>
      </c>
      <c r="I917">
        <v>10</v>
      </c>
      <c r="J917">
        <v>0.91</v>
      </c>
      <c r="K917">
        <v>1731.5</v>
      </c>
      <c r="L917" t="s">
        <v>18</v>
      </c>
    </row>
    <row r="918" spans="1:12" x14ac:dyDescent="0.3">
      <c r="A918">
        <v>78</v>
      </c>
      <c r="B918" t="s">
        <v>192</v>
      </c>
      <c r="C918" t="s">
        <v>193</v>
      </c>
      <c r="D918" t="s">
        <v>14</v>
      </c>
      <c r="E918" t="s">
        <v>69</v>
      </c>
      <c r="F918" t="s">
        <v>66</v>
      </c>
      <c r="G918" s="1">
        <v>45778</v>
      </c>
      <c r="H918">
        <v>186</v>
      </c>
      <c r="I918">
        <v>7</v>
      </c>
      <c r="J918">
        <v>0.96</v>
      </c>
      <c r="K918">
        <v>1309</v>
      </c>
      <c r="L918" t="s">
        <v>18</v>
      </c>
    </row>
    <row r="919" spans="1:12" x14ac:dyDescent="0.3">
      <c r="A919">
        <v>78</v>
      </c>
      <c r="B919" t="s">
        <v>192</v>
      </c>
      <c r="C919" t="s">
        <v>193</v>
      </c>
      <c r="D919" t="s">
        <v>14</v>
      </c>
      <c r="E919" t="s">
        <v>69</v>
      </c>
      <c r="F919" t="s">
        <v>66</v>
      </c>
      <c r="G919" s="1">
        <v>45809</v>
      </c>
      <c r="H919">
        <v>247</v>
      </c>
      <c r="I919">
        <v>2</v>
      </c>
      <c r="J919">
        <v>0.87</v>
      </c>
      <c r="K919">
        <v>1705.5</v>
      </c>
      <c r="L919" t="s">
        <v>18</v>
      </c>
    </row>
    <row r="920" spans="1:12" x14ac:dyDescent="0.3">
      <c r="A920">
        <v>78</v>
      </c>
      <c r="B920" t="s">
        <v>192</v>
      </c>
      <c r="C920" t="s">
        <v>193</v>
      </c>
      <c r="D920" t="s">
        <v>14</v>
      </c>
      <c r="E920" t="s">
        <v>69</v>
      </c>
      <c r="F920" t="s">
        <v>66</v>
      </c>
      <c r="G920" s="1">
        <v>45839</v>
      </c>
      <c r="H920">
        <v>308</v>
      </c>
      <c r="I920">
        <v>9</v>
      </c>
      <c r="J920">
        <v>0.92</v>
      </c>
      <c r="K920">
        <v>2102</v>
      </c>
      <c r="L920" t="s">
        <v>17</v>
      </c>
    </row>
    <row r="921" spans="1:12" x14ac:dyDescent="0.3">
      <c r="A921">
        <v>78</v>
      </c>
      <c r="B921" t="s">
        <v>192</v>
      </c>
      <c r="C921" t="s">
        <v>193</v>
      </c>
      <c r="D921" t="s">
        <v>14</v>
      </c>
      <c r="E921" t="s">
        <v>69</v>
      </c>
      <c r="F921" t="s">
        <v>66</v>
      </c>
      <c r="G921" s="1">
        <v>45870</v>
      </c>
      <c r="H921">
        <v>278</v>
      </c>
      <c r="I921">
        <v>4</v>
      </c>
      <c r="J921">
        <v>0.87</v>
      </c>
      <c r="K921">
        <v>1907</v>
      </c>
      <c r="L921" t="s">
        <v>17</v>
      </c>
    </row>
    <row r="922" spans="1:12" x14ac:dyDescent="0.3">
      <c r="A922">
        <v>78</v>
      </c>
      <c r="B922" t="s">
        <v>192</v>
      </c>
      <c r="C922" t="s">
        <v>193</v>
      </c>
      <c r="D922" t="s">
        <v>14</v>
      </c>
      <c r="E922" t="s">
        <v>69</v>
      </c>
      <c r="F922" t="s">
        <v>66</v>
      </c>
      <c r="G922" s="1">
        <v>45901</v>
      </c>
      <c r="H922">
        <v>349</v>
      </c>
      <c r="I922">
        <v>7</v>
      </c>
      <c r="J922">
        <v>0.92</v>
      </c>
      <c r="K922">
        <v>2368.5</v>
      </c>
      <c r="L922" t="s">
        <v>18</v>
      </c>
    </row>
    <row r="923" spans="1:12" x14ac:dyDescent="0.3">
      <c r="A923">
        <v>78</v>
      </c>
      <c r="B923" t="s">
        <v>192</v>
      </c>
      <c r="C923" t="s">
        <v>193</v>
      </c>
      <c r="D923" t="s">
        <v>14</v>
      </c>
      <c r="E923" t="s">
        <v>69</v>
      </c>
      <c r="F923" t="s">
        <v>66</v>
      </c>
      <c r="G923" s="1">
        <v>45931</v>
      </c>
      <c r="H923">
        <v>374</v>
      </c>
      <c r="I923">
        <v>4</v>
      </c>
      <c r="J923">
        <v>0.96</v>
      </c>
      <c r="K923">
        <v>2531</v>
      </c>
      <c r="L923" t="s">
        <v>17</v>
      </c>
    </row>
    <row r="924" spans="1:12" x14ac:dyDescent="0.3">
      <c r="A924">
        <v>78</v>
      </c>
      <c r="B924" t="s">
        <v>192</v>
      </c>
      <c r="C924" t="s">
        <v>193</v>
      </c>
      <c r="D924" t="s">
        <v>14</v>
      </c>
      <c r="E924" t="s">
        <v>69</v>
      </c>
      <c r="F924" t="s">
        <v>66</v>
      </c>
      <c r="G924" s="1">
        <v>45962</v>
      </c>
      <c r="H924">
        <v>217</v>
      </c>
      <c r="I924">
        <v>10</v>
      </c>
      <c r="J924">
        <v>0.85</v>
      </c>
      <c r="K924">
        <v>1510.5</v>
      </c>
      <c r="L924" t="s">
        <v>18</v>
      </c>
    </row>
    <row r="925" spans="1:12" x14ac:dyDescent="0.3">
      <c r="A925">
        <v>78</v>
      </c>
      <c r="B925" t="s">
        <v>192</v>
      </c>
      <c r="C925" t="s">
        <v>193</v>
      </c>
      <c r="D925" t="s">
        <v>14</v>
      </c>
      <c r="E925" t="s">
        <v>69</v>
      </c>
      <c r="F925" t="s">
        <v>66</v>
      </c>
      <c r="G925" s="1">
        <v>45992</v>
      </c>
      <c r="H925">
        <v>193</v>
      </c>
      <c r="I925">
        <v>8</v>
      </c>
      <c r="J925">
        <v>0.95</v>
      </c>
      <c r="K925">
        <v>1354.5</v>
      </c>
      <c r="L925" t="s">
        <v>18</v>
      </c>
    </row>
    <row r="926" spans="1:12" x14ac:dyDescent="0.3">
      <c r="A926">
        <v>79</v>
      </c>
      <c r="B926" t="s">
        <v>194</v>
      </c>
      <c r="C926" t="s">
        <v>195</v>
      </c>
      <c r="D926" t="s">
        <v>24</v>
      </c>
      <c r="E926" t="s">
        <v>72</v>
      </c>
      <c r="F926" t="s">
        <v>73</v>
      </c>
      <c r="G926" s="1">
        <v>45658</v>
      </c>
      <c r="H926">
        <v>216</v>
      </c>
      <c r="I926">
        <v>7</v>
      </c>
      <c r="J926">
        <v>0.99</v>
      </c>
      <c r="K926">
        <v>2021.2</v>
      </c>
      <c r="L926" t="s">
        <v>18</v>
      </c>
    </row>
    <row r="927" spans="1:12" x14ac:dyDescent="0.3">
      <c r="A927">
        <v>79</v>
      </c>
      <c r="B927" t="s">
        <v>194</v>
      </c>
      <c r="C927" t="s">
        <v>195</v>
      </c>
      <c r="D927" t="s">
        <v>24</v>
      </c>
      <c r="E927" t="s">
        <v>72</v>
      </c>
      <c r="F927" t="s">
        <v>73</v>
      </c>
      <c r="G927" s="1">
        <v>45689</v>
      </c>
      <c r="H927">
        <v>370</v>
      </c>
      <c r="I927">
        <v>5</v>
      </c>
      <c r="J927">
        <v>0.86</v>
      </c>
      <c r="K927">
        <v>3284</v>
      </c>
      <c r="L927" t="s">
        <v>18</v>
      </c>
    </row>
    <row r="928" spans="1:12" x14ac:dyDescent="0.3">
      <c r="A928">
        <v>79</v>
      </c>
      <c r="B928" t="s">
        <v>194</v>
      </c>
      <c r="C928" t="s">
        <v>195</v>
      </c>
      <c r="D928" t="s">
        <v>24</v>
      </c>
      <c r="E928" t="s">
        <v>72</v>
      </c>
      <c r="F928" t="s">
        <v>73</v>
      </c>
      <c r="G928" s="1">
        <v>45717</v>
      </c>
      <c r="H928">
        <v>217</v>
      </c>
      <c r="I928">
        <v>9</v>
      </c>
      <c r="J928">
        <v>0.88</v>
      </c>
      <c r="K928">
        <v>2029.4</v>
      </c>
      <c r="L928" t="s">
        <v>18</v>
      </c>
    </row>
    <row r="929" spans="1:12" x14ac:dyDescent="0.3">
      <c r="A929">
        <v>79</v>
      </c>
      <c r="B929" t="s">
        <v>194</v>
      </c>
      <c r="C929" t="s">
        <v>195</v>
      </c>
      <c r="D929" t="s">
        <v>24</v>
      </c>
      <c r="E929" t="s">
        <v>72</v>
      </c>
      <c r="F929" t="s">
        <v>73</v>
      </c>
      <c r="G929" s="1">
        <v>45748</v>
      </c>
      <c r="H929">
        <v>227</v>
      </c>
      <c r="I929">
        <v>4</v>
      </c>
      <c r="J929">
        <v>0.9</v>
      </c>
      <c r="K929">
        <v>2111.4</v>
      </c>
      <c r="L929" t="s">
        <v>18</v>
      </c>
    </row>
    <row r="930" spans="1:12" x14ac:dyDescent="0.3">
      <c r="A930">
        <v>79</v>
      </c>
      <c r="B930" t="s">
        <v>194</v>
      </c>
      <c r="C930" t="s">
        <v>195</v>
      </c>
      <c r="D930" t="s">
        <v>24</v>
      </c>
      <c r="E930" t="s">
        <v>72</v>
      </c>
      <c r="F930" t="s">
        <v>73</v>
      </c>
      <c r="G930" s="1">
        <v>45778</v>
      </c>
      <c r="H930">
        <v>296</v>
      </c>
      <c r="I930">
        <v>9</v>
      </c>
      <c r="J930">
        <v>0.99</v>
      </c>
      <c r="K930">
        <v>2677.2</v>
      </c>
      <c r="L930" t="s">
        <v>18</v>
      </c>
    </row>
    <row r="931" spans="1:12" x14ac:dyDescent="0.3">
      <c r="A931">
        <v>79</v>
      </c>
      <c r="B931" t="s">
        <v>194</v>
      </c>
      <c r="C931" t="s">
        <v>195</v>
      </c>
      <c r="D931" t="s">
        <v>24</v>
      </c>
      <c r="E931" t="s">
        <v>72</v>
      </c>
      <c r="F931" t="s">
        <v>73</v>
      </c>
      <c r="G931" s="1">
        <v>45809</v>
      </c>
      <c r="H931">
        <v>290</v>
      </c>
      <c r="I931">
        <v>6</v>
      </c>
      <c r="J931">
        <v>0.95</v>
      </c>
      <c r="K931">
        <v>2628</v>
      </c>
      <c r="L931" t="s">
        <v>17</v>
      </c>
    </row>
    <row r="932" spans="1:12" x14ac:dyDescent="0.3">
      <c r="A932">
        <v>79</v>
      </c>
      <c r="B932" t="s">
        <v>194</v>
      </c>
      <c r="C932" t="s">
        <v>195</v>
      </c>
      <c r="D932" t="s">
        <v>24</v>
      </c>
      <c r="E932" t="s">
        <v>72</v>
      </c>
      <c r="F932" t="s">
        <v>73</v>
      </c>
      <c r="G932" s="1">
        <v>45839</v>
      </c>
      <c r="H932">
        <v>236</v>
      </c>
      <c r="I932">
        <v>8</v>
      </c>
      <c r="J932">
        <v>0.99</v>
      </c>
      <c r="K932">
        <v>2185.1999999999998</v>
      </c>
      <c r="L932" t="s">
        <v>18</v>
      </c>
    </row>
    <row r="933" spans="1:12" x14ac:dyDescent="0.3">
      <c r="A933">
        <v>79</v>
      </c>
      <c r="B933" t="s">
        <v>194</v>
      </c>
      <c r="C933" t="s">
        <v>195</v>
      </c>
      <c r="D933" t="s">
        <v>24</v>
      </c>
      <c r="E933" t="s">
        <v>72</v>
      </c>
      <c r="F933" t="s">
        <v>73</v>
      </c>
      <c r="G933" s="1">
        <v>45870</v>
      </c>
      <c r="H933">
        <v>379</v>
      </c>
      <c r="I933">
        <v>10</v>
      </c>
      <c r="J933">
        <v>0.85</v>
      </c>
      <c r="K933">
        <v>3357.8</v>
      </c>
      <c r="L933" t="s">
        <v>18</v>
      </c>
    </row>
    <row r="934" spans="1:12" x14ac:dyDescent="0.3">
      <c r="A934">
        <v>79</v>
      </c>
      <c r="B934" t="s">
        <v>194</v>
      </c>
      <c r="C934" t="s">
        <v>195</v>
      </c>
      <c r="D934" t="s">
        <v>24</v>
      </c>
      <c r="E934" t="s">
        <v>72</v>
      </c>
      <c r="F934" t="s">
        <v>73</v>
      </c>
      <c r="G934" s="1">
        <v>45901</v>
      </c>
      <c r="H934">
        <v>260</v>
      </c>
      <c r="I934">
        <v>3</v>
      </c>
      <c r="J934">
        <v>0.89</v>
      </c>
      <c r="K934">
        <v>2382</v>
      </c>
      <c r="L934" t="s">
        <v>18</v>
      </c>
    </row>
    <row r="935" spans="1:12" x14ac:dyDescent="0.3">
      <c r="A935">
        <v>79</v>
      </c>
      <c r="B935" t="s">
        <v>194</v>
      </c>
      <c r="C935" t="s">
        <v>195</v>
      </c>
      <c r="D935" t="s">
        <v>24</v>
      </c>
      <c r="E935" t="s">
        <v>72</v>
      </c>
      <c r="F935" t="s">
        <v>73</v>
      </c>
      <c r="G935" s="1">
        <v>45931</v>
      </c>
      <c r="H935">
        <v>249</v>
      </c>
      <c r="I935">
        <v>7</v>
      </c>
      <c r="J935">
        <v>0.94</v>
      </c>
      <c r="K935">
        <v>2291.8000000000002</v>
      </c>
      <c r="L935" t="s">
        <v>18</v>
      </c>
    </row>
    <row r="936" spans="1:12" x14ac:dyDescent="0.3">
      <c r="A936">
        <v>79</v>
      </c>
      <c r="B936" t="s">
        <v>194</v>
      </c>
      <c r="C936" t="s">
        <v>195</v>
      </c>
      <c r="D936" t="s">
        <v>24</v>
      </c>
      <c r="E936" t="s">
        <v>72</v>
      </c>
      <c r="F936" t="s">
        <v>73</v>
      </c>
      <c r="G936" s="1">
        <v>45962</v>
      </c>
      <c r="H936">
        <v>400</v>
      </c>
      <c r="I936">
        <v>2</v>
      </c>
      <c r="J936">
        <v>0.85</v>
      </c>
      <c r="K936">
        <v>3530</v>
      </c>
      <c r="L936" t="s">
        <v>18</v>
      </c>
    </row>
    <row r="937" spans="1:12" x14ac:dyDescent="0.3">
      <c r="A937">
        <v>79</v>
      </c>
      <c r="B937" t="s">
        <v>194</v>
      </c>
      <c r="C937" t="s">
        <v>195</v>
      </c>
      <c r="D937" t="s">
        <v>24</v>
      </c>
      <c r="E937" t="s">
        <v>72</v>
      </c>
      <c r="F937" t="s">
        <v>73</v>
      </c>
      <c r="G937" s="1">
        <v>45992</v>
      </c>
      <c r="H937">
        <v>241</v>
      </c>
      <c r="I937">
        <v>4</v>
      </c>
      <c r="J937">
        <v>0.94</v>
      </c>
      <c r="K937">
        <v>2226.1999999999998</v>
      </c>
      <c r="L937" t="s">
        <v>18</v>
      </c>
    </row>
    <row r="938" spans="1:12" x14ac:dyDescent="0.3">
      <c r="A938">
        <v>80</v>
      </c>
      <c r="B938" t="s">
        <v>196</v>
      </c>
      <c r="C938" t="s">
        <v>197</v>
      </c>
      <c r="D938" t="s">
        <v>32</v>
      </c>
      <c r="E938" t="s">
        <v>76</v>
      </c>
      <c r="F938" t="s">
        <v>77</v>
      </c>
      <c r="G938" s="1">
        <v>45658</v>
      </c>
      <c r="H938">
        <v>362</v>
      </c>
      <c r="I938">
        <v>2</v>
      </c>
      <c r="J938">
        <v>0.86</v>
      </c>
      <c r="K938">
        <v>4301</v>
      </c>
      <c r="L938" t="s">
        <v>17</v>
      </c>
    </row>
    <row r="939" spans="1:12" x14ac:dyDescent="0.3">
      <c r="A939">
        <v>80</v>
      </c>
      <c r="B939" t="s">
        <v>196</v>
      </c>
      <c r="C939" t="s">
        <v>197</v>
      </c>
      <c r="D939" t="s">
        <v>32</v>
      </c>
      <c r="E939" t="s">
        <v>76</v>
      </c>
      <c r="F939" t="s">
        <v>77</v>
      </c>
      <c r="G939" s="1">
        <v>45689</v>
      </c>
      <c r="H939">
        <v>255</v>
      </c>
      <c r="I939">
        <v>7</v>
      </c>
      <c r="J939">
        <v>0.98</v>
      </c>
      <c r="K939">
        <v>3177.5</v>
      </c>
      <c r="L939" t="s">
        <v>18</v>
      </c>
    </row>
    <row r="940" spans="1:12" x14ac:dyDescent="0.3">
      <c r="A940">
        <v>80</v>
      </c>
      <c r="B940" t="s">
        <v>196</v>
      </c>
      <c r="C940" t="s">
        <v>197</v>
      </c>
      <c r="D940" t="s">
        <v>32</v>
      </c>
      <c r="E940" t="s">
        <v>76</v>
      </c>
      <c r="F940" t="s">
        <v>77</v>
      </c>
      <c r="G940" s="1">
        <v>45717</v>
      </c>
      <c r="H940">
        <v>326</v>
      </c>
      <c r="I940">
        <v>8</v>
      </c>
      <c r="J940">
        <v>0.97</v>
      </c>
      <c r="K940">
        <v>3923</v>
      </c>
      <c r="L940" t="s">
        <v>18</v>
      </c>
    </row>
    <row r="941" spans="1:12" x14ac:dyDescent="0.3">
      <c r="A941">
        <v>80</v>
      </c>
      <c r="B941" t="s">
        <v>196</v>
      </c>
      <c r="C941" t="s">
        <v>197</v>
      </c>
      <c r="D941" t="s">
        <v>32</v>
      </c>
      <c r="E941" t="s">
        <v>76</v>
      </c>
      <c r="F941" t="s">
        <v>77</v>
      </c>
      <c r="G941" s="1">
        <v>45748</v>
      </c>
      <c r="H941">
        <v>319</v>
      </c>
      <c r="I941">
        <v>5</v>
      </c>
      <c r="J941">
        <v>0.86</v>
      </c>
      <c r="K941">
        <v>3849.5</v>
      </c>
      <c r="L941" t="s">
        <v>17</v>
      </c>
    </row>
    <row r="942" spans="1:12" x14ac:dyDescent="0.3">
      <c r="A942">
        <v>80</v>
      </c>
      <c r="B942" t="s">
        <v>196</v>
      </c>
      <c r="C942" t="s">
        <v>197</v>
      </c>
      <c r="D942" t="s">
        <v>32</v>
      </c>
      <c r="E942" t="s">
        <v>76</v>
      </c>
      <c r="F942" t="s">
        <v>77</v>
      </c>
      <c r="G942" s="1">
        <v>45778</v>
      </c>
      <c r="H942">
        <v>225</v>
      </c>
      <c r="I942">
        <v>8</v>
      </c>
      <c r="J942">
        <v>0.9</v>
      </c>
      <c r="K942">
        <v>2862.5</v>
      </c>
      <c r="L942" t="s">
        <v>18</v>
      </c>
    </row>
    <row r="943" spans="1:12" x14ac:dyDescent="0.3">
      <c r="A943">
        <v>80</v>
      </c>
      <c r="B943" t="s">
        <v>196</v>
      </c>
      <c r="C943" t="s">
        <v>197</v>
      </c>
      <c r="D943" t="s">
        <v>32</v>
      </c>
      <c r="E943" t="s">
        <v>76</v>
      </c>
      <c r="F943" t="s">
        <v>77</v>
      </c>
      <c r="G943" s="1">
        <v>45809</v>
      </c>
      <c r="H943">
        <v>266</v>
      </c>
      <c r="I943">
        <v>3</v>
      </c>
      <c r="J943">
        <v>0.93</v>
      </c>
      <c r="K943">
        <v>3293</v>
      </c>
      <c r="L943" t="s">
        <v>18</v>
      </c>
    </row>
    <row r="944" spans="1:12" x14ac:dyDescent="0.3">
      <c r="A944">
        <v>80</v>
      </c>
      <c r="B944" t="s">
        <v>196</v>
      </c>
      <c r="C944" t="s">
        <v>197</v>
      </c>
      <c r="D944" t="s">
        <v>32</v>
      </c>
      <c r="E944" t="s">
        <v>76</v>
      </c>
      <c r="F944" t="s">
        <v>77</v>
      </c>
      <c r="G944" s="1">
        <v>45839</v>
      </c>
      <c r="H944">
        <v>226</v>
      </c>
      <c r="I944">
        <v>8</v>
      </c>
      <c r="J944">
        <v>0.96</v>
      </c>
      <c r="K944">
        <v>2873</v>
      </c>
      <c r="L944" t="s">
        <v>18</v>
      </c>
    </row>
    <row r="945" spans="1:12" x14ac:dyDescent="0.3">
      <c r="A945">
        <v>80</v>
      </c>
      <c r="B945" t="s">
        <v>196</v>
      </c>
      <c r="C945" t="s">
        <v>197</v>
      </c>
      <c r="D945" t="s">
        <v>32</v>
      </c>
      <c r="E945" t="s">
        <v>76</v>
      </c>
      <c r="F945" t="s">
        <v>77</v>
      </c>
      <c r="G945" s="1">
        <v>45870</v>
      </c>
      <c r="H945">
        <v>166</v>
      </c>
      <c r="I945">
        <v>6</v>
      </c>
      <c r="J945">
        <v>0.96</v>
      </c>
      <c r="K945">
        <v>2243</v>
      </c>
      <c r="L945" t="s">
        <v>18</v>
      </c>
    </row>
    <row r="946" spans="1:12" x14ac:dyDescent="0.3">
      <c r="A946">
        <v>80</v>
      </c>
      <c r="B946" t="s">
        <v>196</v>
      </c>
      <c r="C946" t="s">
        <v>197</v>
      </c>
      <c r="D946" t="s">
        <v>32</v>
      </c>
      <c r="E946" t="s">
        <v>76</v>
      </c>
      <c r="F946" t="s">
        <v>77</v>
      </c>
      <c r="G946" s="1">
        <v>45901</v>
      </c>
      <c r="H946">
        <v>227</v>
      </c>
      <c r="I946">
        <v>9</v>
      </c>
      <c r="J946">
        <v>0.9</v>
      </c>
      <c r="K946">
        <v>2883.5</v>
      </c>
      <c r="L946" t="s">
        <v>18</v>
      </c>
    </row>
    <row r="947" spans="1:12" x14ac:dyDescent="0.3">
      <c r="A947">
        <v>80</v>
      </c>
      <c r="B947" t="s">
        <v>196</v>
      </c>
      <c r="C947" t="s">
        <v>197</v>
      </c>
      <c r="D947" t="s">
        <v>32</v>
      </c>
      <c r="E947" t="s">
        <v>76</v>
      </c>
      <c r="F947" t="s">
        <v>77</v>
      </c>
      <c r="G947" s="1">
        <v>45931</v>
      </c>
      <c r="H947">
        <v>229</v>
      </c>
      <c r="I947">
        <v>8</v>
      </c>
      <c r="J947">
        <v>0.95</v>
      </c>
      <c r="K947">
        <v>2904.5</v>
      </c>
      <c r="L947" t="s">
        <v>18</v>
      </c>
    </row>
    <row r="948" spans="1:12" x14ac:dyDescent="0.3">
      <c r="A948">
        <v>80</v>
      </c>
      <c r="B948" t="s">
        <v>196</v>
      </c>
      <c r="C948" t="s">
        <v>197</v>
      </c>
      <c r="D948" t="s">
        <v>32</v>
      </c>
      <c r="E948" t="s">
        <v>76</v>
      </c>
      <c r="F948" t="s">
        <v>77</v>
      </c>
      <c r="G948" s="1">
        <v>45962</v>
      </c>
      <c r="H948">
        <v>249</v>
      </c>
      <c r="I948">
        <v>3</v>
      </c>
      <c r="J948">
        <v>0.99</v>
      </c>
      <c r="K948">
        <v>3114.5</v>
      </c>
      <c r="L948" t="s">
        <v>18</v>
      </c>
    </row>
    <row r="949" spans="1:12" x14ac:dyDescent="0.3">
      <c r="A949">
        <v>80</v>
      </c>
      <c r="B949" t="s">
        <v>196</v>
      </c>
      <c r="C949" t="s">
        <v>197</v>
      </c>
      <c r="D949" t="s">
        <v>32</v>
      </c>
      <c r="E949" t="s">
        <v>76</v>
      </c>
      <c r="F949" t="s">
        <v>77</v>
      </c>
      <c r="G949" s="1">
        <v>45992</v>
      </c>
      <c r="H949">
        <v>361</v>
      </c>
      <c r="I949">
        <v>8</v>
      </c>
      <c r="J949">
        <v>0.94</v>
      </c>
      <c r="K949">
        <v>4290.5</v>
      </c>
      <c r="L949" t="s">
        <v>18</v>
      </c>
    </row>
    <row r="950" spans="1:12" x14ac:dyDescent="0.3">
      <c r="A950">
        <v>81</v>
      </c>
      <c r="B950" t="s">
        <v>198</v>
      </c>
      <c r="C950" t="s">
        <v>199</v>
      </c>
      <c r="D950" t="s">
        <v>42</v>
      </c>
      <c r="E950" t="s">
        <v>15</v>
      </c>
      <c r="F950" t="s">
        <v>16</v>
      </c>
      <c r="G950" s="1">
        <v>45658</v>
      </c>
      <c r="H950">
        <v>210</v>
      </c>
      <c r="I950">
        <v>9</v>
      </c>
      <c r="J950">
        <v>0.97</v>
      </c>
      <c r="K950">
        <v>1083</v>
      </c>
      <c r="L950" t="s">
        <v>18</v>
      </c>
    </row>
    <row r="951" spans="1:12" x14ac:dyDescent="0.3">
      <c r="A951">
        <v>81</v>
      </c>
      <c r="B951" t="s">
        <v>198</v>
      </c>
      <c r="C951" t="s">
        <v>199</v>
      </c>
      <c r="D951" t="s">
        <v>42</v>
      </c>
      <c r="E951" t="s">
        <v>15</v>
      </c>
      <c r="F951" t="s">
        <v>16</v>
      </c>
      <c r="G951" s="1">
        <v>45689</v>
      </c>
      <c r="H951">
        <v>226</v>
      </c>
      <c r="I951">
        <v>5</v>
      </c>
      <c r="J951">
        <v>0.87</v>
      </c>
      <c r="K951">
        <v>1159.8</v>
      </c>
      <c r="L951" t="s">
        <v>18</v>
      </c>
    </row>
    <row r="952" spans="1:12" x14ac:dyDescent="0.3">
      <c r="A952">
        <v>81</v>
      </c>
      <c r="B952" t="s">
        <v>198</v>
      </c>
      <c r="C952" t="s">
        <v>199</v>
      </c>
      <c r="D952" t="s">
        <v>42</v>
      </c>
      <c r="E952" t="s">
        <v>15</v>
      </c>
      <c r="F952" t="s">
        <v>16</v>
      </c>
      <c r="G952" s="1">
        <v>45717</v>
      </c>
      <c r="H952">
        <v>378</v>
      </c>
      <c r="I952">
        <v>10</v>
      </c>
      <c r="J952">
        <v>0.92</v>
      </c>
      <c r="K952">
        <v>1889.4</v>
      </c>
      <c r="L952" t="s">
        <v>18</v>
      </c>
    </row>
    <row r="953" spans="1:12" x14ac:dyDescent="0.3">
      <c r="A953">
        <v>81</v>
      </c>
      <c r="B953" t="s">
        <v>198</v>
      </c>
      <c r="C953" t="s">
        <v>199</v>
      </c>
      <c r="D953" t="s">
        <v>42</v>
      </c>
      <c r="E953" t="s">
        <v>15</v>
      </c>
      <c r="F953" t="s">
        <v>16</v>
      </c>
      <c r="G953" s="1">
        <v>45748</v>
      </c>
      <c r="H953">
        <v>254</v>
      </c>
      <c r="I953">
        <v>3</v>
      </c>
      <c r="J953">
        <v>0.87</v>
      </c>
      <c r="K953">
        <v>1294.2</v>
      </c>
      <c r="L953" t="s">
        <v>18</v>
      </c>
    </row>
    <row r="954" spans="1:12" x14ac:dyDescent="0.3">
      <c r="A954">
        <v>81</v>
      </c>
      <c r="B954" t="s">
        <v>198</v>
      </c>
      <c r="C954" t="s">
        <v>199</v>
      </c>
      <c r="D954" t="s">
        <v>42</v>
      </c>
      <c r="E954" t="s">
        <v>15</v>
      </c>
      <c r="F954" t="s">
        <v>16</v>
      </c>
      <c r="G954" s="1">
        <v>45778</v>
      </c>
      <c r="H954">
        <v>360</v>
      </c>
      <c r="I954">
        <v>6</v>
      </c>
      <c r="J954">
        <v>0.88</v>
      </c>
      <c r="K954">
        <v>1803</v>
      </c>
      <c r="L954" t="s">
        <v>18</v>
      </c>
    </row>
    <row r="955" spans="1:12" x14ac:dyDescent="0.3">
      <c r="A955">
        <v>81</v>
      </c>
      <c r="B955" t="s">
        <v>198</v>
      </c>
      <c r="C955" t="s">
        <v>199</v>
      </c>
      <c r="D955" t="s">
        <v>42</v>
      </c>
      <c r="E955" t="s">
        <v>15</v>
      </c>
      <c r="F955" t="s">
        <v>16</v>
      </c>
      <c r="G955" s="1">
        <v>45809</v>
      </c>
      <c r="H955">
        <v>232</v>
      </c>
      <c r="I955">
        <v>8</v>
      </c>
      <c r="J955">
        <v>0.87</v>
      </c>
      <c r="K955">
        <v>1188.5999999999999</v>
      </c>
      <c r="L955" t="s">
        <v>18</v>
      </c>
    </row>
    <row r="956" spans="1:12" x14ac:dyDescent="0.3">
      <c r="A956">
        <v>81</v>
      </c>
      <c r="B956" t="s">
        <v>198</v>
      </c>
      <c r="C956" t="s">
        <v>199</v>
      </c>
      <c r="D956" t="s">
        <v>42</v>
      </c>
      <c r="E956" t="s">
        <v>15</v>
      </c>
      <c r="F956" t="s">
        <v>16</v>
      </c>
      <c r="G956" s="1">
        <v>45839</v>
      </c>
      <c r="H956">
        <v>338</v>
      </c>
      <c r="I956">
        <v>5</v>
      </c>
      <c r="J956">
        <v>0.93</v>
      </c>
      <c r="K956">
        <v>1697.4</v>
      </c>
      <c r="L956" t="s">
        <v>18</v>
      </c>
    </row>
    <row r="957" spans="1:12" x14ac:dyDescent="0.3">
      <c r="A957">
        <v>81</v>
      </c>
      <c r="B957" t="s">
        <v>198</v>
      </c>
      <c r="C957" t="s">
        <v>199</v>
      </c>
      <c r="D957" t="s">
        <v>42</v>
      </c>
      <c r="E957" t="s">
        <v>15</v>
      </c>
      <c r="F957" t="s">
        <v>16</v>
      </c>
      <c r="G957" s="1">
        <v>45870</v>
      </c>
      <c r="H957">
        <v>375</v>
      </c>
      <c r="I957">
        <v>4</v>
      </c>
      <c r="J957">
        <v>0.89</v>
      </c>
      <c r="K957">
        <v>1875</v>
      </c>
      <c r="L957" t="s">
        <v>18</v>
      </c>
    </row>
    <row r="958" spans="1:12" x14ac:dyDescent="0.3">
      <c r="A958">
        <v>81</v>
      </c>
      <c r="B958" t="s">
        <v>198</v>
      </c>
      <c r="C958" t="s">
        <v>199</v>
      </c>
      <c r="D958" t="s">
        <v>42</v>
      </c>
      <c r="E958" t="s">
        <v>15</v>
      </c>
      <c r="F958" t="s">
        <v>16</v>
      </c>
      <c r="G958" s="1">
        <v>45901</v>
      </c>
      <c r="H958">
        <v>321</v>
      </c>
      <c r="I958">
        <v>2</v>
      </c>
      <c r="J958">
        <v>0.92</v>
      </c>
      <c r="K958">
        <v>1615.8</v>
      </c>
      <c r="L958" t="s">
        <v>18</v>
      </c>
    </row>
    <row r="959" spans="1:12" x14ac:dyDescent="0.3">
      <c r="A959">
        <v>81</v>
      </c>
      <c r="B959" t="s">
        <v>198</v>
      </c>
      <c r="C959" t="s">
        <v>199</v>
      </c>
      <c r="D959" t="s">
        <v>42</v>
      </c>
      <c r="E959" t="s">
        <v>15</v>
      </c>
      <c r="F959" t="s">
        <v>16</v>
      </c>
      <c r="G959" s="1">
        <v>45931</v>
      </c>
      <c r="H959">
        <v>350</v>
      </c>
      <c r="I959">
        <v>5</v>
      </c>
      <c r="J959">
        <v>0.92</v>
      </c>
      <c r="K959">
        <v>1755</v>
      </c>
      <c r="L959" t="s">
        <v>17</v>
      </c>
    </row>
    <row r="960" spans="1:12" x14ac:dyDescent="0.3">
      <c r="A960">
        <v>81</v>
      </c>
      <c r="B960" t="s">
        <v>198</v>
      </c>
      <c r="C960" t="s">
        <v>199</v>
      </c>
      <c r="D960" t="s">
        <v>42</v>
      </c>
      <c r="E960" t="s">
        <v>15</v>
      </c>
      <c r="F960" t="s">
        <v>16</v>
      </c>
      <c r="G960" s="1">
        <v>45962</v>
      </c>
      <c r="H960">
        <v>219</v>
      </c>
      <c r="I960">
        <v>6</v>
      </c>
      <c r="J960">
        <v>0.96</v>
      </c>
      <c r="K960">
        <v>1126.2</v>
      </c>
      <c r="L960" t="s">
        <v>18</v>
      </c>
    </row>
    <row r="961" spans="1:12" x14ac:dyDescent="0.3">
      <c r="A961">
        <v>81</v>
      </c>
      <c r="B961" t="s">
        <v>198</v>
      </c>
      <c r="C961" t="s">
        <v>199</v>
      </c>
      <c r="D961" t="s">
        <v>42</v>
      </c>
      <c r="E961" t="s">
        <v>15</v>
      </c>
      <c r="F961" t="s">
        <v>16</v>
      </c>
      <c r="G961" s="1">
        <v>45992</v>
      </c>
      <c r="H961">
        <v>163</v>
      </c>
      <c r="I961">
        <v>8</v>
      </c>
      <c r="J961">
        <v>0.96</v>
      </c>
      <c r="K961">
        <v>857.4</v>
      </c>
      <c r="L961" t="s">
        <v>18</v>
      </c>
    </row>
    <row r="962" spans="1:12" x14ac:dyDescent="0.3">
      <c r="A962">
        <v>82</v>
      </c>
      <c r="B962" t="s">
        <v>200</v>
      </c>
      <c r="C962" t="s">
        <v>201</v>
      </c>
      <c r="D962" t="s">
        <v>14</v>
      </c>
      <c r="E962" t="s">
        <v>21</v>
      </c>
      <c r="F962" t="s">
        <v>16</v>
      </c>
      <c r="G962" s="1">
        <v>45658</v>
      </c>
      <c r="H962">
        <v>285</v>
      </c>
      <c r="I962">
        <v>3</v>
      </c>
      <c r="J962">
        <v>0.97</v>
      </c>
      <c r="K962">
        <v>1952.5</v>
      </c>
      <c r="L962" t="s">
        <v>18</v>
      </c>
    </row>
    <row r="963" spans="1:12" x14ac:dyDescent="0.3">
      <c r="A963">
        <v>82</v>
      </c>
      <c r="B963" t="s">
        <v>200</v>
      </c>
      <c r="C963" t="s">
        <v>201</v>
      </c>
      <c r="D963" t="s">
        <v>14</v>
      </c>
      <c r="E963" t="s">
        <v>21</v>
      </c>
      <c r="F963" t="s">
        <v>16</v>
      </c>
      <c r="G963" s="1">
        <v>45689</v>
      </c>
      <c r="H963">
        <v>233</v>
      </c>
      <c r="I963">
        <v>8</v>
      </c>
      <c r="J963">
        <v>0.91</v>
      </c>
      <c r="K963">
        <v>1614.5</v>
      </c>
      <c r="L963" t="s">
        <v>18</v>
      </c>
    </row>
    <row r="964" spans="1:12" x14ac:dyDescent="0.3">
      <c r="A964">
        <v>82</v>
      </c>
      <c r="B964" t="s">
        <v>200</v>
      </c>
      <c r="C964" t="s">
        <v>201</v>
      </c>
      <c r="D964" t="s">
        <v>14</v>
      </c>
      <c r="E964" t="s">
        <v>21</v>
      </c>
      <c r="F964" t="s">
        <v>16</v>
      </c>
      <c r="G964" s="1">
        <v>45717</v>
      </c>
      <c r="H964">
        <v>365</v>
      </c>
      <c r="I964">
        <v>7</v>
      </c>
      <c r="J964">
        <v>0.86</v>
      </c>
      <c r="K964">
        <v>2472.5</v>
      </c>
      <c r="L964" t="s">
        <v>17</v>
      </c>
    </row>
    <row r="965" spans="1:12" x14ac:dyDescent="0.3">
      <c r="A965">
        <v>82</v>
      </c>
      <c r="B965" t="s">
        <v>200</v>
      </c>
      <c r="C965" t="s">
        <v>201</v>
      </c>
      <c r="D965" t="s">
        <v>14</v>
      </c>
      <c r="E965" t="s">
        <v>21</v>
      </c>
      <c r="F965" t="s">
        <v>16</v>
      </c>
      <c r="G965" s="1">
        <v>45748</v>
      </c>
      <c r="H965">
        <v>389</v>
      </c>
      <c r="I965">
        <v>4</v>
      </c>
      <c r="J965">
        <v>0.93</v>
      </c>
      <c r="K965">
        <v>2628.5</v>
      </c>
      <c r="L965" t="s">
        <v>17</v>
      </c>
    </row>
    <row r="966" spans="1:12" x14ac:dyDescent="0.3">
      <c r="A966">
        <v>82</v>
      </c>
      <c r="B966" t="s">
        <v>200</v>
      </c>
      <c r="C966" t="s">
        <v>201</v>
      </c>
      <c r="D966" t="s">
        <v>14</v>
      </c>
      <c r="E966" t="s">
        <v>21</v>
      </c>
      <c r="F966" t="s">
        <v>16</v>
      </c>
      <c r="G966" s="1">
        <v>45778</v>
      </c>
      <c r="H966">
        <v>287</v>
      </c>
      <c r="I966">
        <v>6</v>
      </c>
      <c r="J966">
        <v>0.93</v>
      </c>
      <c r="K966">
        <v>1965.5</v>
      </c>
      <c r="L966" t="s">
        <v>18</v>
      </c>
    </row>
    <row r="967" spans="1:12" x14ac:dyDescent="0.3">
      <c r="A967">
        <v>82</v>
      </c>
      <c r="B967" t="s">
        <v>200</v>
      </c>
      <c r="C967" t="s">
        <v>201</v>
      </c>
      <c r="D967" t="s">
        <v>14</v>
      </c>
      <c r="E967" t="s">
        <v>21</v>
      </c>
      <c r="F967" t="s">
        <v>16</v>
      </c>
      <c r="G967" s="1">
        <v>45809</v>
      </c>
      <c r="H967">
        <v>214</v>
      </c>
      <c r="I967">
        <v>10</v>
      </c>
      <c r="J967">
        <v>0.92</v>
      </c>
      <c r="K967">
        <v>1491</v>
      </c>
      <c r="L967" t="s">
        <v>18</v>
      </c>
    </row>
    <row r="968" spans="1:12" x14ac:dyDescent="0.3">
      <c r="A968">
        <v>82</v>
      </c>
      <c r="B968" t="s">
        <v>200</v>
      </c>
      <c r="C968" t="s">
        <v>201</v>
      </c>
      <c r="D968" t="s">
        <v>14</v>
      </c>
      <c r="E968" t="s">
        <v>21</v>
      </c>
      <c r="F968" t="s">
        <v>16</v>
      </c>
      <c r="G968" s="1">
        <v>45839</v>
      </c>
      <c r="H968">
        <v>173</v>
      </c>
      <c r="I968">
        <v>3</v>
      </c>
      <c r="J968">
        <v>0.9</v>
      </c>
      <c r="K968">
        <v>1224.5</v>
      </c>
      <c r="L968" t="s">
        <v>18</v>
      </c>
    </row>
    <row r="969" spans="1:12" x14ac:dyDescent="0.3">
      <c r="A969">
        <v>82</v>
      </c>
      <c r="B969" t="s">
        <v>200</v>
      </c>
      <c r="C969" t="s">
        <v>201</v>
      </c>
      <c r="D969" t="s">
        <v>14</v>
      </c>
      <c r="E969" t="s">
        <v>21</v>
      </c>
      <c r="F969" t="s">
        <v>16</v>
      </c>
      <c r="G969" s="1">
        <v>45870</v>
      </c>
      <c r="H969">
        <v>314</v>
      </c>
      <c r="I969">
        <v>3</v>
      </c>
      <c r="J969">
        <v>0.98</v>
      </c>
      <c r="K969">
        <v>2141</v>
      </c>
      <c r="L969" t="s">
        <v>18</v>
      </c>
    </row>
    <row r="970" spans="1:12" x14ac:dyDescent="0.3">
      <c r="A970">
        <v>82</v>
      </c>
      <c r="B970" t="s">
        <v>200</v>
      </c>
      <c r="C970" t="s">
        <v>201</v>
      </c>
      <c r="D970" t="s">
        <v>14</v>
      </c>
      <c r="E970" t="s">
        <v>21</v>
      </c>
      <c r="F970" t="s">
        <v>16</v>
      </c>
      <c r="G970" s="1">
        <v>45901</v>
      </c>
      <c r="H970">
        <v>318</v>
      </c>
      <c r="I970">
        <v>6</v>
      </c>
      <c r="J970">
        <v>0.9</v>
      </c>
      <c r="K970">
        <v>2167</v>
      </c>
      <c r="L970" t="s">
        <v>18</v>
      </c>
    </row>
    <row r="971" spans="1:12" x14ac:dyDescent="0.3">
      <c r="A971">
        <v>82</v>
      </c>
      <c r="B971" t="s">
        <v>200</v>
      </c>
      <c r="C971" t="s">
        <v>201</v>
      </c>
      <c r="D971" t="s">
        <v>14</v>
      </c>
      <c r="E971" t="s">
        <v>21</v>
      </c>
      <c r="F971" t="s">
        <v>16</v>
      </c>
      <c r="G971" s="1">
        <v>45931</v>
      </c>
      <c r="H971">
        <v>300</v>
      </c>
      <c r="I971">
        <v>7</v>
      </c>
      <c r="J971">
        <v>0.97</v>
      </c>
      <c r="K971">
        <v>2050</v>
      </c>
      <c r="L971" t="s">
        <v>18</v>
      </c>
    </row>
    <row r="972" spans="1:12" x14ac:dyDescent="0.3">
      <c r="A972">
        <v>82</v>
      </c>
      <c r="B972" t="s">
        <v>200</v>
      </c>
      <c r="C972" t="s">
        <v>201</v>
      </c>
      <c r="D972" t="s">
        <v>14</v>
      </c>
      <c r="E972" t="s">
        <v>21</v>
      </c>
      <c r="F972" t="s">
        <v>16</v>
      </c>
      <c r="G972" s="1">
        <v>45962</v>
      </c>
      <c r="H972">
        <v>372</v>
      </c>
      <c r="I972">
        <v>7</v>
      </c>
      <c r="J972">
        <v>0.97</v>
      </c>
      <c r="K972">
        <v>2518</v>
      </c>
      <c r="L972" t="s">
        <v>18</v>
      </c>
    </row>
    <row r="973" spans="1:12" x14ac:dyDescent="0.3">
      <c r="A973">
        <v>82</v>
      </c>
      <c r="B973" t="s">
        <v>200</v>
      </c>
      <c r="C973" t="s">
        <v>201</v>
      </c>
      <c r="D973" t="s">
        <v>14</v>
      </c>
      <c r="E973" t="s">
        <v>21</v>
      </c>
      <c r="F973" t="s">
        <v>16</v>
      </c>
      <c r="G973" s="1">
        <v>45992</v>
      </c>
      <c r="H973">
        <v>350</v>
      </c>
      <c r="I973">
        <v>10</v>
      </c>
      <c r="J973">
        <v>0.86</v>
      </c>
      <c r="K973">
        <v>2375</v>
      </c>
      <c r="L973" t="s">
        <v>18</v>
      </c>
    </row>
    <row r="974" spans="1:12" x14ac:dyDescent="0.3">
      <c r="A974">
        <v>83</v>
      </c>
      <c r="B974" t="s">
        <v>202</v>
      </c>
      <c r="C974" t="s">
        <v>203</v>
      </c>
      <c r="D974" t="s">
        <v>24</v>
      </c>
      <c r="E974" t="s">
        <v>39</v>
      </c>
      <c r="F974" t="s">
        <v>16</v>
      </c>
      <c r="G974" s="1">
        <v>45658</v>
      </c>
      <c r="H974">
        <v>263</v>
      </c>
      <c r="I974">
        <v>3</v>
      </c>
      <c r="J974">
        <v>0.91</v>
      </c>
      <c r="K974">
        <v>2406.6</v>
      </c>
      <c r="L974" t="s">
        <v>17</v>
      </c>
    </row>
    <row r="975" spans="1:12" x14ac:dyDescent="0.3">
      <c r="A975">
        <v>83</v>
      </c>
      <c r="B975" t="s">
        <v>202</v>
      </c>
      <c r="C975" t="s">
        <v>203</v>
      </c>
      <c r="D975" t="s">
        <v>24</v>
      </c>
      <c r="E975" t="s">
        <v>39</v>
      </c>
      <c r="F975" t="s">
        <v>16</v>
      </c>
      <c r="G975" s="1">
        <v>45689</v>
      </c>
      <c r="H975">
        <v>303</v>
      </c>
      <c r="I975">
        <v>8</v>
      </c>
      <c r="J975">
        <v>0.85</v>
      </c>
      <c r="K975">
        <v>2734.6</v>
      </c>
      <c r="L975" t="s">
        <v>18</v>
      </c>
    </row>
    <row r="976" spans="1:12" x14ac:dyDescent="0.3">
      <c r="A976">
        <v>83</v>
      </c>
      <c r="B976" t="s">
        <v>202</v>
      </c>
      <c r="C976" t="s">
        <v>203</v>
      </c>
      <c r="D976" t="s">
        <v>24</v>
      </c>
      <c r="E976" t="s">
        <v>39</v>
      </c>
      <c r="F976" t="s">
        <v>16</v>
      </c>
      <c r="G976" s="1">
        <v>45717</v>
      </c>
      <c r="H976">
        <v>357</v>
      </c>
      <c r="I976">
        <v>2</v>
      </c>
      <c r="J976">
        <v>0.95</v>
      </c>
      <c r="K976">
        <v>3177.4</v>
      </c>
      <c r="L976" t="s">
        <v>17</v>
      </c>
    </row>
    <row r="977" spans="1:12" x14ac:dyDescent="0.3">
      <c r="A977">
        <v>83</v>
      </c>
      <c r="B977" t="s">
        <v>202</v>
      </c>
      <c r="C977" t="s">
        <v>203</v>
      </c>
      <c r="D977" t="s">
        <v>24</v>
      </c>
      <c r="E977" t="s">
        <v>39</v>
      </c>
      <c r="F977" t="s">
        <v>16</v>
      </c>
      <c r="G977" s="1">
        <v>45748</v>
      </c>
      <c r="H977">
        <v>248</v>
      </c>
      <c r="I977">
        <v>7</v>
      </c>
      <c r="J977">
        <v>0.96</v>
      </c>
      <c r="K977">
        <v>2283.6</v>
      </c>
      <c r="L977" t="s">
        <v>17</v>
      </c>
    </row>
    <row r="978" spans="1:12" x14ac:dyDescent="0.3">
      <c r="A978">
        <v>83</v>
      </c>
      <c r="B978" t="s">
        <v>202</v>
      </c>
      <c r="C978" t="s">
        <v>203</v>
      </c>
      <c r="D978" t="s">
        <v>24</v>
      </c>
      <c r="E978" t="s">
        <v>39</v>
      </c>
      <c r="F978" t="s">
        <v>16</v>
      </c>
      <c r="G978" s="1">
        <v>45778</v>
      </c>
      <c r="H978">
        <v>287</v>
      </c>
      <c r="I978">
        <v>10</v>
      </c>
      <c r="J978">
        <v>0.89</v>
      </c>
      <c r="K978">
        <v>2603.4</v>
      </c>
      <c r="L978" t="s">
        <v>17</v>
      </c>
    </row>
    <row r="979" spans="1:12" x14ac:dyDescent="0.3">
      <c r="A979">
        <v>83</v>
      </c>
      <c r="B979" t="s">
        <v>202</v>
      </c>
      <c r="C979" t="s">
        <v>203</v>
      </c>
      <c r="D979" t="s">
        <v>24</v>
      </c>
      <c r="E979" t="s">
        <v>39</v>
      </c>
      <c r="F979" t="s">
        <v>16</v>
      </c>
      <c r="G979" s="1">
        <v>45809</v>
      </c>
      <c r="H979">
        <v>301</v>
      </c>
      <c r="I979">
        <v>6</v>
      </c>
      <c r="J979">
        <v>0.94</v>
      </c>
      <c r="K979">
        <v>2718.2</v>
      </c>
      <c r="L979" t="s">
        <v>18</v>
      </c>
    </row>
    <row r="980" spans="1:12" x14ac:dyDescent="0.3">
      <c r="A980">
        <v>83</v>
      </c>
      <c r="B980" t="s">
        <v>202</v>
      </c>
      <c r="C980" t="s">
        <v>203</v>
      </c>
      <c r="D980" t="s">
        <v>24</v>
      </c>
      <c r="E980" t="s">
        <v>39</v>
      </c>
      <c r="F980" t="s">
        <v>16</v>
      </c>
      <c r="G980" s="1">
        <v>45839</v>
      </c>
      <c r="H980">
        <v>277</v>
      </c>
      <c r="I980">
        <v>4</v>
      </c>
      <c r="J980">
        <v>0.89</v>
      </c>
      <c r="K980">
        <v>2521.4</v>
      </c>
      <c r="L980" t="s">
        <v>18</v>
      </c>
    </row>
    <row r="981" spans="1:12" x14ac:dyDescent="0.3">
      <c r="A981">
        <v>83</v>
      </c>
      <c r="B981" t="s">
        <v>202</v>
      </c>
      <c r="C981" t="s">
        <v>203</v>
      </c>
      <c r="D981" t="s">
        <v>24</v>
      </c>
      <c r="E981" t="s">
        <v>39</v>
      </c>
      <c r="F981" t="s">
        <v>16</v>
      </c>
      <c r="G981" s="1">
        <v>45870</v>
      </c>
      <c r="H981">
        <v>317</v>
      </c>
      <c r="I981">
        <v>2</v>
      </c>
      <c r="J981">
        <v>0.92</v>
      </c>
      <c r="K981">
        <v>2849.4</v>
      </c>
      <c r="L981" t="s">
        <v>18</v>
      </c>
    </row>
    <row r="982" spans="1:12" x14ac:dyDescent="0.3">
      <c r="A982">
        <v>83</v>
      </c>
      <c r="B982" t="s">
        <v>202</v>
      </c>
      <c r="C982" t="s">
        <v>203</v>
      </c>
      <c r="D982" t="s">
        <v>24</v>
      </c>
      <c r="E982" t="s">
        <v>39</v>
      </c>
      <c r="F982" t="s">
        <v>16</v>
      </c>
      <c r="G982" s="1">
        <v>45901</v>
      </c>
      <c r="H982">
        <v>209</v>
      </c>
      <c r="I982">
        <v>8</v>
      </c>
      <c r="J982">
        <v>0.91</v>
      </c>
      <c r="K982">
        <v>1963.8</v>
      </c>
      <c r="L982" t="s">
        <v>18</v>
      </c>
    </row>
    <row r="983" spans="1:12" x14ac:dyDescent="0.3">
      <c r="A983">
        <v>83</v>
      </c>
      <c r="B983" t="s">
        <v>202</v>
      </c>
      <c r="C983" t="s">
        <v>203</v>
      </c>
      <c r="D983" t="s">
        <v>24</v>
      </c>
      <c r="E983" t="s">
        <v>39</v>
      </c>
      <c r="F983" t="s">
        <v>16</v>
      </c>
      <c r="G983" s="1">
        <v>45931</v>
      </c>
      <c r="H983">
        <v>156</v>
      </c>
      <c r="I983">
        <v>6</v>
      </c>
      <c r="J983">
        <v>0.89</v>
      </c>
      <c r="K983">
        <v>1529.2</v>
      </c>
      <c r="L983" t="s">
        <v>17</v>
      </c>
    </row>
    <row r="984" spans="1:12" x14ac:dyDescent="0.3">
      <c r="A984">
        <v>83</v>
      </c>
      <c r="B984" t="s">
        <v>202</v>
      </c>
      <c r="C984" t="s">
        <v>203</v>
      </c>
      <c r="D984" t="s">
        <v>24</v>
      </c>
      <c r="E984" t="s">
        <v>39</v>
      </c>
      <c r="F984" t="s">
        <v>16</v>
      </c>
      <c r="G984" s="1">
        <v>45962</v>
      </c>
      <c r="H984">
        <v>198</v>
      </c>
      <c r="I984">
        <v>2</v>
      </c>
      <c r="J984">
        <v>0.96</v>
      </c>
      <c r="K984">
        <v>1873.6</v>
      </c>
      <c r="L984" t="s">
        <v>18</v>
      </c>
    </row>
    <row r="985" spans="1:12" x14ac:dyDescent="0.3">
      <c r="A985">
        <v>83</v>
      </c>
      <c r="B985" t="s">
        <v>202</v>
      </c>
      <c r="C985" t="s">
        <v>203</v>
      </c>
      <c r="D985" t="s">
        <v>24</v>
      </c>
      <c r="E985" t="s">
        <v>39</v>
      </c>
      <c r="F985" t="s">
        <v>16</v>
      </c>
      <c r="G985" s="1">
        <v>45992</v>
      </c>
      <c r="H985">
        <v>373</v>
      </c>
      <c r="I985">
        <v>5</v>
      </c>
      <c r="J985">
        <v>0.9</v>
      </c>
      <c r="K985">
        <v>3308.6</v>
      </c>
      <c r="L985" t="s">
        <v>17</v>
      </c>
    </row>
    <row r="986" spans="1:12" x14ac:dyDescent="0.3">
      <c r="A986">
        <v>84</v>
      </c>
      <c r="B986" t="s">
        <v>204</v>
      </c>
      <c r="C986" t="s">
        <v>205</v>
      </c>
      <c r="D986" t="s">
        <v>32</v>
      </c>
      <c r="E986" t="s">
        <v>25</v>
      </c>
      <c r="F986" t="s">
        <v>26</v>
      </c>
      <c r="G986" s="1">
        <v>45658</v>
      </c>
      <c r="H986">
        <v>334</v>
      </c>
      <c r="I986">
        <v>7</v>
      </c>
      <c r="J986">
        <v>0.98</v>
      </c>
      <c r="K986">
        <v>4007</v>
      </c>
      <c r="L986" t="s">
        <v>18</v>
      </c>
    </row>
    <row r="987" spans="1:12" x14ac:dyDescent="0.3">
      <c r="A987">
        <v>84</v>
      </c>
      <c r="B987" t="s">
        <v>204</v>
      </c>
      <c r="C987" t="s">
        <v>205</v>
      </c>
      <c r="D987" t="s">
        <v>32</v>
      </c>
      <c r="E987" t="s">
        <v>25</v>
      </c>
      <c r="F987" t="s">
        <v>26</v>
      </c>
      <c r="G987" s="1">
        <v>45689</v>
      </c>
      <c r="H987">
        <v>372</v>
      </c>
      <c r="I987">
        <v>10</v>
      </c>
      <c r="J987">
        <v>0.98</v>
      </c>
      <c r="K987">
        <v>4406</v>
      </c>
      <c r="L987" t="s">
        <v>18</v>
      </c>
    </row>
    <row r="988" spans="1:12" x14ac:dyDescent="0.3">
      <c r="A988">
        <v>84</v>
      </c>
      <c r="B988" t="s">
        <v>204</v>
      </c>
      <c r="C988" t="s">
        <v>205</v>
      </c>
      <c r="D988" t="s">
        <v>32</v>
      </c>
      <c r="E988" t="s">
        <v>25</v>
      </c>
      <c r="F988" t="s">
        <v>26</v>
      </c>
      <c r="G988" s="1">
        <v>45717</v>
      </c>
      <c r="H988">
        <v>191</v>
      </c>
      <c r="I988">
        <v>9</v>
      </c>
      <c r="J988">
        <v>0.97</v>
      </c>
      <c r="K988">
        <v>2505.5</v>
      </c>
      <c r="L988" t="s">
        <v>18</v>
      </c>
    </row>
    <row r="989" spans="1:12" x14ac:dyDescent="0.3">
      <c r="A989">
        <v>84</v>
      </c>
      <c r="B989" t="s">
        <v>204</v>
      </c>
      <c r="C989" t="s">
        <v>205</v>
      </c>
      <c r="D989" t="s">
        <v>32</v>
      </c>
      <c r="E989" t="s">
        <v>25</v>
      </c>
      <c r="F989" t="s">
        <v>26</v>
      </c>
      <c r="G989" s="1">
        <v>45748</v>
      </c>
      <c r="H989">
        <v>347</v>
      </c>
      <c r="I989">
        <v>8</v>
      </c>
      <c r="J989">
        <v>0.93</v>
      </c>
      <c r="K989">
        <v>4143.5</v>
      </c>
      <c r="L989" t="s">
        <v>18</v>
      </c>
    </row>
    <row r="990" spans="1:12" x14ac:dyDescent="0.3">
      <c r="A990">
        <v>84</v>
      </c>
      <c r="B990" t="s">
        <v>204</v>
      </c>
      <c r="C990" t="s">
        <v>205</v>
      </c>
      <c r="D990" t="s">
        <v>32</v>
      </c>
      <c r="E990" t="s">
        <v>25</v>
      </c>
      <c r="F990" t="s">
        <v>26</v>
      </c>
      <c r="G990" s="1">
        <v>45778</v>
      </c>
      <c r="H990">
        <v>398</v>
      </c>
      <c r="I990">
        <v>5</v>
      </c>
      <c r="J990">
        <v>0.92</v>
      </c>
      <c r="K990">
        <v>4679</v>
      </c>
      <c r="L990" t="s">
        <v>18</v>
      </c>
    </row>
    <row r="991" spans="1:12" x14ac:dyDescent="0.3">
      <c r="A991">
        <v>84</v>
      </c>
      <c r="B991" t="s">
        <v>204</v>
      </c>
      <c r="C991" t="s">
        <v>205</v>
      </c>
      <c r="D991" t="s">
        <v>32</v>
      </c>
      <c r="E991" t="s">
        <v>25</v>
      </c>
      <c r="F991" t="s">
        <v>26</v>
      </c>
      <c r="G991" s="1">
        <v>45809</v>
      </c>
      <c r="H991">
        <v>253</v>
      </c>
      <c r="I991">
        <v>10</v>
      </c>
      <c r="J991">
        <v>0.93</v>
      </c>
      <c r="K991">
        <v>3156.5</v>
      </c>
      <c r="L991" t="s">
        <v>18</v>
      </c>
    </row>
    <row r="992" spans="1:12" x14ac:dyDescent="0.3">
      <c r="A992">
        <v>84</v>
      </c>
      <c r="B992" t="s">
        <v>204</v>
      </c>
      <c r="C992" t="s">
        <v>205</v>
      </c>
      <c r="D992" t="s">
        <v>32</v>
      </c>
      <c r="E992" t="s">
        <v>25</v>
      </c>
      <c r="F992" t="s">
        <v>26</v>
      </c>
      <c r="G992" s="1">
        <v>45839</v>
      </c>
      <c r="H992">
        <v>395</v>
      </c>
      <c r="I992">
        <v>7</v>
      </c>
      <c r="J992">
        <v>0.89</v>
      </c>
      <c r="K992">
        <v>4647.5</v>
      </c>
      <c r="L992" t="s">
        <v>18</v>
      </c>
    </row>
    <row r="993" spans="1:12" x14ac:dyDescent="0.3">
      <c r="A993">
        <v>84</v>
      </c>
      <c r="B993" t="s">
        <v>204</v>
      </c>
      <c r="C993" t="s">
        <v>205</v>
      </c>
      <c r="D993" t="s">
        <v>32</v>
      </c>
      <c r="E993" t="s">
        <v>25</v>
      </c>
      <c r="F993" t="s">
        <v>26</v>
      </c>
      <c r="G993" s="1">
        <v>45870</v>
      </c>
      <c r="H993">
        <v>373</v>
      </c>
      <c r="I993">
        <v>3</v>
      </c>
      <c r="J993">
        <v>0.86</v>
      </c>
      <c r="K993">
        <v>4416.5</v>
      </c>
      <c r="L993" t="s">
        <v>18</v>
      </c>
    </row>
    <row r="994" spans="1:12" x14ac:dyDescent="0.3">
      <c r="A994">
        <v>84</v>
      </c>
      <c r="B994" t="s">
        <v>204</v>
      </c>
      <c r="C994" t="s">
        <v>205</v>
      </c>
      <c r="D994" t="s">
        <v>32</v>
      </c>
      <c r="E994" t="s">
        <v>25</v>
      </c>
      <c r="F994" t="s">
        <v>26</v>
      </c>
      <c r="G994" s="1">
        <v>45901</v>
      </c>
      <c r="H994">
        <v>256</v>
      </c>
      <c r="I994">
        <v>8</v>
      </c>
      <c r="J994">
        <v>0.95</v>
      </c>
      <c r="K994">
        <v>3188</v>
      </c>
      <c r="L994" t="s">
        <v>18</v>
      </c>
    </row>
    <row r="995" spans="1:12" x14ac:dyDescent="0.3">
      <c r="A995">
        <v>84</v>
      </c>
      <c r="B995" t="s">
        <v>204</v>
      </c>
      <c r="C995" t="s">
        <v>205</v>
      </c>
      <c r="D995" t="s">
        <v>32</v>
      </c>
      <c r="E995" t="s">
        <v>25</v>
      </c>
      <c r="F995" t="s">
        <v>26</v>
      </c>
      <c r="G995" s="1">
        <v>45931</v>
      </c>
      <c r="H995">
        <v>339</v>
      </c>
      <c r="I995">
        <v>8</v>
      </c>
      <c r="J995">
        <v>0.98</v>
      </c>
      <c r="K995">
        <v>4059.5</v>
      </c>
      <c r="L995" t="s">
        <v>18</v>
      </c>
    </row>
    <row r="996" spans="1:12" x14ac:dyDescent="0.3">
      <c r="A996">
        <v>84</v>
      </c>
      <c r="B996" t="s">
        <v>204</v>
      </c>
      <c r="C996" t="s">
        <v>205</v>
      </c>
      <c r="D996" t="s">
        <v>32</v>
      </c>
      <c r="E996" t="s">
        <v>25</v>
      </c>
      <c r="F996" t="s">
        <v>26</v>
      </c>
      <c r="G996" s="1">
        <v>45962</v>
      </c>
      <c r="H996">
        <v>387</v>
      </c>
      <c r="I996">
        <v>7</v>
      </c>
      <c r="J996">
        <v>0.88</v>
      </c>
      <c r="K996">
        <v>4563.5</v>
      </c>
      <c r="L996" t="s">
        <v>18</v>
      </c>
    </row>
    <row r="997" spans="1:12" x14ac:dyDescent="0.3">
      <c r="A997">
        <v>84</v>
      </c>
      <c r="B997" t="s">
        <v>204</v>
      </c>
      <c r="C997" t="s">
        <v>205</v>
      </c>
      <c r="D997" t="s">
        <v>32</v>
      </c>
      <c r="E997" t="s">
        <v>25</v>
      </c>
      <c r="F997" t="s">
        <v>26</v>
      </c>
      <c r="G997" s="1">
        <v>45992</v>
      </c>
      <c r="H997">
        <v>394</v>
      </c>
      <c r="I997">
        <v>8</v>
      </c>
      <c r="J997">
        <v>0.94</v>
      </c>
      <c r="K997">
        <v>4637</v>
      </c>
      <c r="L997" t="s">
        <v>18</v>
      </c>
    </row>
    <row r="998" spans="1:12" x14ac:dyDescent="0.3">
      <c r="A998">
        <v>85</v>
      </c>
      <c r="B998" t="s">
        <v>206</v>
      </c>
      <c r="C998" t="s">
        <v>207</v>
      </c>
      <c r="D998" t="s">
        <v>42</v>
      </c>
      <c r="E998" t="s">
        <v>29</v>
      </c>
      <c r="F998" t="s">
        <v>26</v>
      </c>
      <c r="G998" s="1">
        <v>45658</v>
      </c>
      <c r="H998">
        <v>324</v>
      </c>
      <c r="I998">
        <v>10</v>
      </c>
      <c r="J998">
        <v>0.91</v>
      </c>
      <c r="K998">
        <v>1630.2</v>
      </c>
      <c r="L998" t="s">
        <v>17</v>
      </c>
    </row>
    <row r="999" spans="1:12" x14ac:dyDescent="0.3">
      <c r="A999">
        <v>85</v>
      </c>
      <c r="B999" t="s">
        <v>206</v>
      </c>
      <c r="C999" t="s">
        <v>207</v>
      </c>
      <c r="D999" t="s">
        <v>42</v>
      </c>
      <c r="E999" t="s">
        <v>29</v>
      </c>
      <c r="F999" t="s">
        <v>26</v>
      </c>
      <c r="G999" s="1">
        <v>45689</v>
      </c>
      <c r="H999">
        <v>350</v>
      </c>
      <c r="I999">
        <v>4</v>
      </c>
      <c r="J999">
        <v>0.95</v>
      </c>
      <c r="K999">
        <v>1755</v>
      </c>
      <c r="L999" t="s">
        <v>18</v>
      </c>
    </row>
    <row r="1000" spans="1:12" x14ac:dyDescent="0.3">
      <c r="A1000">
        <v>85</v>
      </c>
      <c r="B1000" t="s">
        <v>206</v>
      </c>
      <c r="C1000" t="s">
        <v>207</v>
      </c>
      <c r="D1000" t="s">
        <v>42</v>
      </c>
      <c r="E1000" t="s">
        <v>29</v>
      </c>
      <c r="F1000" t="s">
        <v>26</v>
      </c>
      <c r="G1000" s="1">
        <v>45717</v>
      </c>
      <c r="H1000">
        <v>159</v>
      </c>
      <c r="I1000">
        <v>7</v>
      </c>
      <c r="J1000">
        <v>0.91</v>
      </c>
      <c r="K1000">
        <v>838.2</v>
      </c>
      <c r="L1000" t="s">
        <v>17</v>
      </c>
    </row>
    <row r="1001" spans="1:12" x14ac:dyDescent="0.3">
      <c r="A1001">
        <v>85</v>
      </c>
      <c r="B1001" t="s">
        <v>206</v>
      </c>
      <c r="C1001" t="s">
        <v>207</v>
      </c>
      <c r="D1001" t="s">
        <v>42</v>
      </c>
      <c r="E1001" t="s">
        <v>29</v>
      </c>
      <c r="F1001" t="s">
        <v>26</v>
      </c>
      <c r="G1001" s="1">
        <v>45748</v>
      </c>
      <c r="H1001">
        <v>268</v>
      </c>
      <c r="I1001">
        <v>4</v>
      </c>
      <c r="J1001">
        <v>0.9</v>
      </c>
      <c r="K1001">
        <v>1361.4</v>
      </c>
      <c r="L1001" t="s">
        <v>18</v>
      </c>
    </row>
    <row r="1002" spans="1:12" x14ac:dyDescent="0.3">
      <c r="A1002">
        <v>85</v>
      </c>
      <c r="B1002" t="s">
        <v>206</v>
      </c>
      <c r="C1002" t="s">
        <v>207</v>
      </c>
      <c r="D1002" t="s">
        <v>42</v>
      </c>
      <c r="E1002" t="s">
        <v>29</v>
      </c>
      <c r="F1002" t="s">
        <v>26</v>
      </c>
      <c r="G1002" s="1">
        <v>45778</v>
      </c>
      <c r="H1002">
        <v>195</v>
      </c>
      <c r="I1002">
        <v>2</v>
      </c>
      <c r="J1002">
        <v>0.86</v>
      </c>
      <c r="K1002">
        <v>1011</v>
      </c>
      <c r="L1002" t="s">
        <v>18</v>
      </c>
    </row>
    <row r="1003" spans="1:12" x14ac:dyDescent="0.3">
      <c r="A1003">
        <v>85</v>
      </c>
      <c r="B1003" t="s">
        <v>206</v>
      </c>
      <c r="C1003" t="s">
        <v>207</v>
      </c>
      <c r="D1003" t="s">
        <v>42</v>
      </c>
      <c r="E1003" t="s">
        <v>29</v>
      </c>
      <c r="F1003" t="s">
        <v>26</v>
      </c>
      <c r="G1003" s="1">
        <v>45809</v>
      </c>
      <c r="H1003">
        <v>376</v>
      </c>
      <c r="I1003">
        <v>10</v>
      </c>
      <c r="J1003">
        <v>0.92</v>
      </c>
      <c r="K1003">
        <v>1879.8</v>
      </c>
      <c r="L1003" t="s">
        <v>18</v>
      </c>
    </row>
    <row r="1004" spans="1:12" x14ac:dyDescent="0.3">
      <c r="A1004">
        <v>85</v>
      </c>
      <c r="B1004" t="s">
        <v>206</v>
      </c>
      <c r="C1004" t="s">
        <v>207</v>
      </c>
      <c r="D1004" t="s">
        <v>42</v>
      </c>
      <c r="E1004" t="s">
        <v>29</v>
      </c>
      <c r="F1004" t="s">
        <v>26</v>
      </c>
      <c r="G1004" s="1">
        <v>45839</v>
      </c>
      <c r="H1004">
        <v>253</v>
      </c>
      <c r="I1004">
        <v>10</v>
      </c>
      <c r="J1004">
        <v>0.94</v>
      </c>
      <c r="K1004">
        <v>1289.4000000000001</v>
      </c>
      <c r="L1004" t="s">
        <v>18</v>
      </c>
    </row>
    <row r="1005" spans="1:12" x14ac:dyDescent="0.3">
      <c r="A1005">
        <v>85</v>
      </c>
      <c r="B1005" t="s">
        <v>206</v>
      </c>
      <c r="C1005" t="s">
        <v>207</v>
      </c>
      <c r="D1005" t="s">
        <v>42</v>
      </c>
      <c r="E1005" t="s">
        <v>29</v>
      </c>
      <c r="F1005" t="s">
        <v>26</v>
      </c>
      <c r="G1005" s="1">
        <v>45870</v>
      </c>
      <c r="H1005">
        <v>356</v>
      </c>
      <c r="I1005">
        <v>6</v>
      </c>
      <c r="J1005">
        <v>0.89</v>
      </c>
      <c r="K1005">
        <v>1783.8</v>
      </c>
      <c r="L1005" t="s">
        <v>17</v>
      </c>
    </row>
    <row r="1006" spans="1:12" x14ac:dyDescent="0.3">
      <c r="A1006">
        <v>85</v>
      </c>
      <c r="B1006" t="s">
        <v>206</v>
      </c>
      <c r="C1006" t="s">
        <v>207</v>
      </c>
      <c r="D1006" t="s">
        <v>42</v>
      </c>
      <c r="E1006" t="s">
        <v>29</v>
      </c>
      <c r="F1006" t="s">
        <v>26</v>
      </c>
      <c r="G1006" s="1">
        <v>45901</v>
      </c>
      <c r="H1006">
        <v>160</v>
      </c>
      <c r="I1006">
        <v>7</v>
      </c>
      <c r="J1006">
        <v>0.9</v>
      </c>
      <c r="K1006">
        <v>843</v>
      </c>
      <c r="L1006" t="s">
        <v>18</v>
      </c>
    </row>
    <row r="1007" spans="1:12" x14ac:dyDescent="0.3">
      <c r="A1007">
        <v>85</v>
      </c>
      <c r="B1007" t="s">
        <v>206</v>
      </c>
      <c r="C1007" t="s">
        <v>207</v>
      </c>
      <c r="D1007" t="s">
        <v>42</v>
      </c>
      <c r="E1007" t="s">
        <v>29</v>
      </c>
      <c r="F1007" t="s">
        <v>26</v>
      </c>
      <c r="G1007" s="1">
        <v>45931</v>
      </c>
      <c r="H1007">
        <v>375</v>
      </c>
      <c r="I1007">
        <v>3</v>
      </c>
      <c r="J1007">
        <v>0.99</v>
      </c>
      <c r="K1007">
        <v>1875</v>
      </c>
      <c r="L1007" t="s">
        <v>18</v>
      </c>
    </row>
    <row r="1008" spans="1:12" x14ac:dyDescent="0.3">
      <c r="A1008">
        <v>85</v>
      </c>
      <c r="B1008" t="s">
        <v>206</v>
      </c>
      <c r="C1008" t="s">
        <v>207</v>
      </c>
      <c r="D1008" t="s">
        <v>42</v>
      </c>
      <c r="E1008" t="s">
        <v>29</v>
      </c>
      <c r="F1008" t="s">
        <v>26</v>
      </c>
      <c r="G1008" s="1">
        <v>45962</v>
      </c>
      <c r="H1008">
        <v>310</v>
      </c>
      <c r="I1008">
        <v>6</v>
      </c>
      <c r="J1008">
        <v>0.91</v>
      </c>
      <c r="K1008">
        <v>1563</v>
      </c>
      <c r="L1008" t="s">
        <v>17</v>
      </c>
    </row>
    <row r="1009" spans="1:12" x14ac:dyDescent="0.3">
      <c r="A1009">
        <v>85</v>
      </c>
      <c r="B1009" t="s">
        <v>206</v>
      </c>
      <c r="C1009" t="s">
        <v>207</v>
      </c>
      <c r="D1009" t="s">
        <v>42</v>
      </c>
      <c r="E1009" t="s">
        <v>29</v>
      </c>
      <c r="F1009" t="s">
        <v>26</v>
      </c>
      <c r="G1009" s="1">
        <v>45992</v>
      </c>
      <c r="H1009">
        <v>290</v>
      </c>
      <c r="I1009">
        <v>10</v>
      </c>
      <c r="J1009">
        <v>0.86</v>
      </c>
      <c r="K1009">
        <v>1467</v>
      </c>
      <c r="L1009" t="s">
        <v>18</v>
      </c>
    </row>
    <row r="1010" spans="1:12" x14ac:dyDescent="0.3">
      <c r="A1010">
        <v>86</v>
      </c>
      <c r="B1010" t="s">
        <v>208</v>
      </c>
      <c r="C1010" t="s">
        <v>209</v>
      </c>
      <c r="D1010" t="s">
        <v>14</v>
      </c>
      <c r="E1010" t="s">
        <v>47</v>
      </c>
      <c r="F1010" t="s">
        <v>26</v>
      </c>
      <c r="G1010" s="1">
        <v>45658</v>
      </c>
      <c r="H1010">
        <v>282</v>
      </c>
      <c r="I1010">
        <v>8</v>
      </c>
      <c r="J1010">
        <v>0.86</v>
      </c>
      <c r="K1010">
        <v>1933</v>
      </c>
      <c r="L1010" t="s">
        <v>18</v>
      </c>
    </row>
    <row r="1011" spans="1:12" x14ac:dyDescent="0.3">
      <c r="A1011">
        <v>86</v>
      </c>
      <c r="B1011" t="s">
        <v>208</v>
      </c>
      <c r="C1011" t="s">
        <v>209</v>
      </c>
      <c r="D1011" t="s">
        <v>14</v>
      </c>
      <c r="E1011" t="s">
        <v>47</v>
      </c>
      <c r="F1011" t="s">
        <v>26</v>
      </c>
      <c r="G1011" s="1">
        <v>45689</v>
      </c>
      <c r="H1011">
        <v>284</v>
      </c>
      <c r="I1011">
        <v>3</v>
      </c>
      <c r="J1011">
        <v>0.96</v>
      </c>
      <c r="K1011">
        <v>1946</v>
      </c>
      <c r="L1011" t="s">
        <v>18</v>
      </c>
    </row>
    <row r="1012" spans="1:12" x14ac:dyDescent="0.3">
      <c r="A1012">
        <v>86</v>
      </c>
      <c r="B1012" t="s">
        <v>208</v>
      </c>
      <c r="C1012" t="s">
        <v>209</v>
      </c>
      <c r="D1012" t="s">
        <v>14</v>
      </c>
      <c r="E1012" t="s">
        <v>47</v>
      </c>
      <c r="F1012" t="s">
        <v>26</v>
      </c>
      <c r="G1012" s="1">
        <v>45717</v>
      </c>
      <c r="H1012">
        <v>323</v>
      </c>
      <c r="I1012">
        <v>5</v>
      </c>
      <c r="J1012">
        <v>0.96</v>
      </c>
      <c r="K1012">
        <v>2199.5</v>
      </c>
      <c r="L1012" t="s">
        <v>18</v>
      </c>
    </row>
    <row r="1013" spans="1:12" x14ac:dyDescent="0.3">
      <c r="A1013">
        <v>86</v>
      </c>
      <c r="B1013" t="s">
        <v>208</v>
      </c>
      <c r="C1013" t="s">
        <v>209</v>
      </c>
      <c r="D1013" t="s">
        <v>14</v>
      </c>
      <c r="E1013" t="s">
        <v>47</v>
      </c>
      <c r="F1013" t="s">
        <v>26</v>
      </c>
      <c r="G1013" s="1">
        <v>45748</v>
      </c>
      <c r="H1013">
        <v>335</v>
      </c>
      <c r="I1013">
        <v>10</v>
      </c>
      <c r="J1013">
        <v>0.91</v>
      </c>
      <c r="K1013">
        <v>2277.5</v>
      </c>
      <c r="L1013" t="s">
        <v>18</v>
      </c>
    </row>
    <row r="1014" spans="1:12" x14ac:dyDescent="0.3">
      <c r="A1014">
        <v>86</v>
      </c>
      <c r="B1014" t="s">
        <v>208</v>
      </c>
      <c r="C1014" t="s">
        <v>209</v>
      </c>
      <c r="D1014" t="s">
        <v>14</v>
      </c>
      <c r="E1014" t="s">
        <v>47</v>
      </c>
      <c r="F1014" t="s">
        <v>26</v>
      </c>
      <c r="G1014" s="1">
        <v>45778</v>
      </c>
      <c r="H1014">
        <v>169</v>
      </c>
      <c r="I1014">
        <v>2</v>
      </c>
      <c r="J1014">
        <v>0.97</v>
      </c>
      <c r="K1014">
        <v>1198.5</v>
      </c>
      <c r="L1014" t="s">
        <v>18</v>
      </c>
    </row>
    <row r="1015" spans="1:12" x14ac:dyDescent="0.3">
      <c r="A1015">
        <v>86</v>
      </c>
      <c r="B1015" t="s">
        <v>208</v>
      </c>
      <c r="C1015" t="s">
        <v>209</v>
      </c>
      <c r="D1015" t="s">
        <v>14</v>
      </c>
      <c r="E1015" t="s">
        <v>47</v>
      </c>
      <c r="F1015" t="s">
        <v>26</v>
      </c>
      <c r="G1015" s="1">
        <v>45809</v>
      </c>
      <c r="H1015">
        <v>160</v>
      </c>
      <c r="I1015">
        <v>9</v>
      </c>
      <c r="J1015">
        <v>0.85</v>
      </c>
      <c r="K1015">
        <v>1140</v>
      </c>
      <c r="L1015" t="s">
        <v>17</v>
      </c>
    </row>
    <row r="1016" spans="1:12" x14ac:dyDescent="0.3">
      <c r="A1016">
        <v>86</v>
      </c>
      <c r="B1016" t="s">
        <v>208</v>
      </c>
      <c r="C1016" t="s">
        <v>209</v>
      </c>
      <c r="D1016" t="s">
        <v>14</v>
      </c>
      <c r="E1016" t="s">
        <v>47</v>
      </c>
      <c r="F1016" t="s">
        <v>26</v>
      </c>
      <c r="G1016" s="1">
        <v>45839</v>
      </c>
      <c r="H1016">
        <v>172</v>
      </c>
      <c r="I1016">
        <v>4</v>
      </c>
      <c r="J1016">
        <v>0.91</v>
      </c>
      <c r="K1016">
        <v>1218</v>
      </c>
      <c r="L1016" t="s">
        <v>18</v>
      </c>
    </row>
    <row r="1017" spans="1:12" x14ac:dyDescent="0.3">
      <c r="A1017">
        <v>86</v>
      </c>
      <c r="B1017" t="s">
        <v>208</v>
      </c>
      <c r="C1017" t="s">
        <v>209</v>
      </c>
      <c r="D1017" t="s">
        <v>14</v>
      </c>
      <c r="E1017" t="s">
        <v>47</v>
      </c>
      <c r="F1017" t="s">
        <v>26</v>
      </c>
      <c r="G1017" s="1">
        <v>45870</v>
      </c>
      <c r="H1017">
        <v>259</v>
      </c>
      <c r="I1017">
        <v>5</v>
      </c>
      <c r="J1017">
        <v>0.99</v>
      </c>
      <c r="K1017">
        <v>1783.5</v>
      </c>
      <c r="L1017" t="s">
        <v>18</v>
      </c>
    </row>
    <row r="1018" spans="1:12" x14ac:dyDescent="0.3">
      <c r="A1018">
        <v>86</v>
      </c>
      <c r="B1018" t="s">
        <v>208</v>
      </c>
      <c r="C1018" t="s">
        <v>209</v>
      </c>
      <c r="D1018" t="s">
        <v>14</v>
      </c>
      <c r="E1018" t="s">
        <v>47</v>
      </c>
      <c r="F1018" t="s">
        <v>26</v>
      </c>
      <c r="G1018" s="1">
        <v>45901</v>
      </c>
      <c r="H1018">
        <v>328</v>
      </c>
      <c r="I1018">
        <v>8</v>
      </c>
      <c r="J1018">
        <v>0.98</v>
      </c>
      <c r="K1018">
        <v>2232</v>
      </c>
      <c r="L1018" t="s">
        <v>18</v>
      </c>
    </row>
    <row r="1019" spans="1:12" x14ac:dyDescent="0.3">
      <c r="A1019">
        <v>86</v>
      </c>
      <c r="B1019" t="s">
        <v>208</v>
      </c>
      <c r="C1019" t="s">
        <v>209</v>
      </c>
      <c r="D1019" t="s">
        <v>14</v>
      </c>
      <c r="E1019" t="s">
        <v>47</v>
      </c>
      <c r="F1019" t="s">
        <v>26</v>
      </c>
      <c r="G1019" s="1">
        <v>45931</v>
      </c>
      <c r="H1019">
        <v>308</v>
      </c>
      <c r="I1019">
        <v>9</v>
      </c>
      <c r="J1019">
        <v>0.87</v>
      </c>
      <c r="K1019">
        <v>2102</v>
      </c>
      <c r="L1019" t="s">
        <v>18</v>
      </c>
    </row>
    <row r="1020" spans="1:12" x14ac:dyDescent="0.3">
      <c r="A1020">
        <v>86</v>
      </c>
      <c r="B1020" t="s">
        <v>208</v>
      </c>
      <c r="C1020" t="s">
        <v>209</v>
      </c>
      <c r="D1020" t="s">
        <v>14</v>
      </c>
      <c r="E1020" t="s">
        <v>47</v>
      </c>
      <c r="F1020" t="s">
        <v>26</v>
      </c>
      <c r="G1020" s="1">
        <v>45962</v>
      </c>
      <c r="H1020">
        <v>258</v>
      </c>
      <c r="I1020">
        <v>3</v>
      </c>
      <c r="J1020">
        <v>0.9</v>
      </c>
      <c r="K1020">
        <v>1777</v>
      </c>
      <c r="L1020" t="s">
        <v>18</v>
      </c>
    </row>
    <row r="1021" spans="1:12" x14ac:dyDescent="0.3">
      <c r="A1021">
        <v>86</v>
      </c>
      <c r="B1021" t="s">
        <v>208</v>
      </c>
      <c r="C1021" t="s">
        <v>209</v>
      </c>
      <c r="D1021" t="s">
        <v>14</v>
      </c>
      <c r="E1021" t="s">
        <v>47</v>
      </c>
      <c r="F1021" t="s">
        <v>26</v>
      </c>
      <c r="G1021" s="1">
        <v>45992</v>
      </c>
      <c r="H1021">
        <v>378</v>
      </c>
      <c r="I1021">
        <v>4</v>
      </c>
      <c r="J1021">
        <v>0.89</v>
      </c>
      <c r="K1021">
        <v>2557</v>
      </c>
      <c r="L1021" t="s">
        <v>17</v>
      </c>
    </row>
    <row r="1022" spans="1:12" x14ac:dyDescent="0.3">
      <c r="A1022">
        <v>87</v>
      </c>
      <c r="B1022" t="s">
        <v>210</v>
      </c>
      <c r="C1022" t="s">
        <v>211</v>
      </c>
      <c r="D1022" t="s">
        <v>24</v>
      </c>
      <c r="E1022" t="s">
        <v>50</v>
      </c>
      <c r="F1022" t="s">
        <v>51</v>
      </c>
      <c r="G1022" s="1">
        <v>45658</v>
      </c>
      <c r="H1022">
        <v>377</v>
      </c>
      <c r="I1022">
        <v>5</v>
      </c>
      <c r="J1022">
        <v>0.87</v>
      </c>
      <c r="K1022">
        <v>3341.4</v>
      </c>
      <c r="L1022" t="s">
        <v>18</v>
      </c>
    </row>
    <row r="1023" spans="1:12" x14ac:dyDescent="0.3">
      <c r="A1023">
        <v>87</v>
      </c>
      <c r="B1023" t="s">
        <v>210</v>
      </c>
      <c r="C1023" t="s">
        <v>211</v>
      </c>
      <c r="D1023" t="s">
        <v>24</v>
      </c>
      <c r="E1023" t="s">
        <v>50</v>
      </c>
      <c r="F1023" t="s">
        <v>51</v>
      </c>
      <c r="G1023" s="1">
        <v>45689</v>
      </c>
      <c r="H1023">
        <v>302</v>
      </c>
      <c r="I1023">
        <v>8</v>
      </c>
      <c r="J1023">
        <v>0.87</v>
      </c>
      <c r="K1023">
        <v>2726.4</v>
      </c>
      <c r="L1023" t="s">
        <v>18</v>
      </c>
    </row>
    <row r="1024" spans="1:12" x14ac:dyDescent="0.3">
      <c r="A1024">
        <v>87</v>
      </c>
      <c r="B1024" t="s">
        <v>210</v>
      </c>
      <c r="C1024" t="s">
        <v>211</v>
      </c>
      <c r="D1024" t="s">
        <v>24</v>
      </c>
      <c r="E1024" t="s">
        <v>50</v>
      </c>
      <c r="F1024" t="s">
        <v>51</v>
      </c>
      <c r="G1024" s="1">
        <v>45717</v>
      </c>
      <c r="H1024">
        <v>333</v>
      </c>
      <c r="I1024">
        <v>9</v>
      </c>
      <c r="J1024">
        <v>0.95</v>
      </c>
      <c r="K1024">
        <v>2980.6</v>
      </c>
      <c r="L1024" t="s">
        <v>18</v>
      </c>
    </row>
    <row r="1025" spans="1:12" x14ac:dyDescent="0.3">
      <c r="A1025">
        <v>87</v>
      </c>
      <c r="B1025" t="s">
        <v>210</v>
      </c>
      <c r="C1025" t="s">
        <v>211</v>
      </c>
      <c r="D1025" t="s">
        <v>24</v>
      </c>
      <c r="E1025" t="s">
        <v>50</v>
      </c>
      <c r="F1025" t="s">
        <v>51</v>
      </c>
      <c r="G1025" s="1">
        <v>45748</v>
      </c>
      <c r="H1025">
        <v>240</v>
      </c>
      <c r="I1025">
        <v>10</v>
      </c>
      <c r="J1025">
        <v>0.96</v>
      </c>
      <c r="K1025">
        <v>2218</v>
      </c>
      <c r="L1025" t="s">
        <v>18</v>
      </c>
    </row>
    <row r="1026" spans="1:12" x14ac:dyDescent="0.3">
      <c r="A1026">
        <v>87</v>
      </c>
      <c r="B1026" t="s">
        <v>210</v>
      </c>
      <c r="C1026" t="s">
        <v>211</v>
      </c>
      <c r="D1026" t="s">
        <v>24</v>
      </c>
      <c r="E1026" t="s">
        <v>50</v>
      </c>
      <c r="F1026" t="s">
        <v>51</v>
      </c>
      <c r="G1026" s="1">
        <v>45778</v>
      </c>
      <c r="H1026">
        <v>195</v>
      </c>
      <c r="I1026">
        <v>4</v>
      </c>
      <c r="J1026">
        <v>0.95</v>
      </c>
      <c r="K1026">
        <v>1849</v>
      </c>
      <c r="L1026" t="s">
        <v>17</v>
      </c>
    </row>
    <row r="1027" spans="1:12" x14ac:dyDescent="0.3">
      <c r="A1027">
        <v>87</v>
      </c>
      <c r="B1027" t="s">
        <v>210</v>
      </c>
      <c r="C1027" t="s">
        <v>211</v>
      </c>
      <c r="D1027" t="s">
        <v>24</v>
      </c>
      <c r="E1027" t="s">
        <v>50</v>
      </c>
      <c r="F1027" t="s">
        <v>51</v>
      </c>
      <c r="G1027" s="1">
        <v>45809</v>
      </c>
      <c r="H1027">
        <v>360</v>
      </c>
      <c r="I1027">
        <v>7</v>
      </c>
      <c r="J1027">
        <v>0.99</v>
      </c>
      <c r="K1027">
        <v>3202</v>
      </c>
      <c r="L1027" t="s">
        <v>18</v>
      </c>
    </row>
    <row r="1028" spans="1:12" x14ac:dyDescent="0.3">
      <c r="A1028">
        <v>87</v>
      </c>
      <c r="B1028" t="s">
        <v>210</v>
      </c>
      <c r="C1028" t="s">
        <v>211</v>
      </c>
      <c r="D1028" t="s">
        <v>24</v>
      </c>
      <c r="E1028" t="s">
        <v>50</v>
      </c>
      <c r="F1028" t="s">
        <v>51</v>
      </c>
      <c r="G1028" s="1">
        <v>45839</v>
      </c>
      <c r="H1028">
        <v>275</v>
      </c>
      <c r="I1028">
        <v>2</v>
      </c>
      <c r="J1028">
        <v>0.93</v>
      </c>
      <c r="K1028">
        <v>2505</v>
      </c>
      <c r="L1028" t="s">
        <v>18</v>
      </c>
    </row>
    <row r="1029" spans="1:12" x14ac:dyDescent="0.3">
      <c r="A1029">
        <v>87</v>
      </c>
      <c r="B1029" t="s">
        <v>210</v>
      </c>
      <c r="C1029" t="s">
        <v>211</v>
      </c>
      <c r="D1029" t="s">
        <v>24</v>
      </c>
      <c r="E1029" t="s">
        <v>50</v>
      </c>
      <c r="F1029" t="s">
        <v>51</v>
      </c>
      <c r="G1029" s="1">
        <v>45870</v>
      </c>
      <c r="H1029">
        <v>346</v>
      </c>
      <c r="I1029">
        <v>6</v>
      </c>
      <c r="J1029">
        <v>0.95</v>
      </c>
      <c r="K1029">
        <v>3087.2</v>
      </c>
      <c r="L1029" t="s">
        <v>18</v>
      </c>
    </row>
    <row r="1030" spans="1:12" x14ac:dyDescent="0.3">
      <c r="A1030">
        <v>87</v>
      </c>
      <c r="B1030" t="s">
        <v>210</v>
      </c>
      <c r="C1030" t="s">
        <v>211</v>
      </c>
      <c r="D1030" t="s">
        <v>24</v>
      </c>
      <c r="E1030" t="s">
        <v>50</v>
      </c>
      <c r="F1030" t="s">
        <v>51</v>
      </c>
      <c r="G1030" s="1">
        <v>45901</v>
      </c>
      <c r="H1030">
        <v>191</v>
      </c>
      <c r="I1030">
        <v>3</v>
      </c>
      <c r="J1030">
        <v>0.85</v>
      </c>
      <c r="K1030">
        <v>1816.2</v>
      </c>
      <c r="L1030" t="s">
        <v>18</v>
      </c>
    </row>
    <row r="1031" spans="1:12" x14ac:dyDescent="0.3">
      <c r="A1031">
        <v>87</v>
      </c>
      <c r="B1031" t="s">
        <v>210</v>
      </c>
      <c r="C1031" t="s">
        <v>211</v>
      </c>
      <c r="D1031" t="s">
        <v>24</v>
      </c>
      <c r="E1031" t="s">
        <v>50</v>
      </c>
      <c r="F1031" t="s">
        <v>51</v>
      </c>
      <c r="G1031" s="1">
        <v>45931</v>
      </c>
      <c r="H1031">
        <v>269</v>
      </c>
      <c r="I1031">
        <v>9</v>
      </c>
      <c r="J1031">
        <v>0.9</v>
      </c>
      <c r="K1031">
        <v>2455.8000000000002</v>
      </c>
      <c r="L1031" t="s">
        <v>18</v>
      </c>
    </row>
    <row r="1032" spans="1:12" x14ac:dyDescent="0.3">
      <c r="A1032">
        <v>87</v>
      </c>
      <c r="B1032" t="s">
        <v>210</v>
      </c>
      <c r="C1032" t="s">
        <v>211</v>
      </c>
      <c r="D1032" t="s">
        <v>24</v>
      </c>
      <c r="E1032" t="s">
        <v>50</v>
      </c>
      <c r="F1032" t="s">
        <v>51</v>
      </c>
      <c r="G1032" s="1">
        <v>45962</v>
      </c>
      <c r="H1032">
        <v>383</v>
      </c>
      <c r="I1032">
        <v>5</v>
      </c>
      <c r="J1032">
        <v>0.91</v>
      </c>
      <c r="K1032">
        <v>3390.6</v>
      </c>
      <c r="L1032" t="s">
        <v>17</v>
      </c>
    </row>
    <row r="1033" spans="1:12" x14ac:dyDescent="0.3">
      <c r="A1033">
        <v>87</v>
      </c>
      <c r="B1033" t="s">
        <v>210</v>
      </c>
      <c r="C1033" t="s">
        <v>211</v>
      </c>
      <c r="D1033" t="s">
        <v>24</v>
      </c>
      <c r="E1033" t="s">
        <v>50</v>
      </c>
      <c r="F1033" t="s">
        <v>51</v>
      </c>
      <c r="G1033" s="1">
        <v>45992</v>
      </c>
      <c r="H1033">
        <v>174</v>
      </c>
      <c r="I1033">
        <v>2</v>
      </c>
      <c r="J1033">
        <v>0.9</v>
      </c>
      <c r="K1033">
        <v>1676.8</v>
      </c>
      <c r="L1033" t="s">
        <v>18</v>
      </c>
    </row>
    <row r="1034" spans="1:12" x14ac:dyDescent="0.3">
      <c r="A1034">
        <v>88</v>
      </c>
      <c r="B1034" t="s">
        <v>212</v>
      </c>
      <c r="C1034" t="s">
        <v>213</v>
      </c>
      <c r="D1034" t="s">
        <v>32</v>
      </c>
      <c r="E1034" t="s">
        <v>54</v>
      </c>
      <c r="F1034" t="s">
        <v>51</v>
      </c>
      <c r="G1034" s="1">
        <v>45658</v>
      </c>
      <c r="H1034">
        <v>277</v>
      </c>
      <c r="I1034">
        <v>10</v>
      </c>
      <c r="J1034">
        <v>0.91</v>
      </c>
      <c r="K1034">
        <v>3408.5</v>
      </c>
      <c r="L1034" t="s">
        <v>18</v>
      </c>
    </row>
    <row r="1035" spans="1:12" x14ac:dyDescent="0.3">
      <c r="A1035">
        <v>88</v>
      </c>
      <c r="B1035" t="s">
        <v>212</v>
      </c>
      <c r="C1035" t="s">
        <v>213</v>
      </c>
      <c r="D1035" t="s">
        <v>32</v>
      </c>
      <c r="E1035" t="s">
        <v>54</v>
      </c>
      <c r="F1035" t="s">
        <v>51</v>
      </c>
      <c r="G1035" s="1">
        <v>45689</v>
      </c>
      <c r="H1035">
        <v>255</v>
      </c>
      <c r="I1035">
        <v>4</v>
      </c>
      <c r="J1035">
        <v>0.91</v>
      </c>
      <c r="K1035">
        <v>3177.5</v>
      </c>
      <c r="L1035" t="s">
        <v>18</v>
      </c>
    </row>
    <row r="1036" spans="1:12" x14ac:dyDescent="0.3">
      <c r="A1036">
        <v>88</v>
      </c>
      <c r="B1036" t="s">
        <v>212</v>
      </c>
      <c r="C1036" t="s">
        <v>213</v>
      </c>
      <c r="D1036" t="s">
        <v>32</v>
      </c>
      <c r="E1036" t="s">
        <v>54</v>
      </c>
      <c r="F1036" t="s">
        <v>51</v>
      </c>
      <c r="G1036" s="1">
        <v>45717</v>
      </c>
      <c r="H1036">
        <v>167</v>
      </c>
      <c r="I1036">
        <v>10</v>
      </c>
      <c r="J1036">
        <v>0.9</v>
      </c>
      <c r="K1036">
        <v>2253.5</v>
      </c>
      <c r="L1036" t="s">
        <v>18</v>
      </c>
    </row>
    <row r="1037" spans="1:12" x14ac:dyDescent="0.3">
      <c r="A1037">
        <v>88</v>
      </c>
      <c r="B1037" t="s">
        <v>212</v>
      </c>
      <c r="C1037" t="s">
        <v>213</v>
      </c>
      <c r="D1037" t="s">
        <v>32</v>
      </c>
      <c r="E1037" t="s">
        <v>54</v>
      </c>
      <c r="F1037" t="s">
        <v>51</v>
      </c>
      <c r="G1037" s="1">
        <v>45748</v>
      </c>
      <c r="H1037">
        <v>381</v>
      </c>
      <c r="I1037">
        <v>2</v>
      </c>
      <c r="J1037">
        <v>0.99</v>
      </c>
      <c r="K1037">
        <v>4500.5</v>
      </c>
      <c r="L1037" t="s">
        <v>18</v>
      </c>
    </row>
    <row r="1038" spans="1:12" x14ac:dyDescent="0.3">
      <c r="A1038">
        <v>88</v>
      </c>
      <c r="B1038" t="s">
        <v>212</v>
      </c>
      <c r="C1038" t="s">
        <v>213</v>
      </c>
      <c r="D1038" t="s">
        <v>32</v>
      </c>
      <c r="E1038" t="s">
        <v>54</v>
      </c>
      <c r="F1038" t="s">
        <v>51</v>
      </c>
      <c r="G1038" s="1">
        <v>45778</v>
      </c>
      <c r="H1038">
        <v>220</v>
      </c>
      <c r="I1038">
        <v>10</v>
      </c>
      <c r="J1038">
        <v>0.86</v>
      </c>
      <c r="K1038">
        <v>2810</v>
      </c>
      <c r="L1038" t="s">
        <v>18</v>
      </c>
    </row>
    <row r="1039" spans="1:12" x14ac:dyDescent="0.3">
      <c r="A1039">
        <v>88</v>
      </c>
      <c r="B1039" t="s">
        <v>212</v>
      </c>
      <c r="C1039" t="s">
        <v>213</v>
      </c>
      <c r="D1039" t="s">
        <v>32</v>
      </c>
      <c r="E1039" t="s">
        <v>54</v>
      </c>
      <c r="F1039" t="s">
        <v>51</v>
      </c>
      <c r="G1039" s="1">
        <v>45809</v>
      </c>
      <c r="H1039">
        <v>226</v>
      </c>
      <c r="I1039">
        <v>3</v>
      </c>
      <c r="J1039">
        <v>0.9</v>
      </c>
      <c r="K1039">
        <v>2873</v>
      </c>
      <c r="L1039" t="s">
        <v>18</v>
      </c>
    </row>
    <row r="1040" spans="1:12" x14ac:dyDescent="0.3">
      <c r="A1040">
        <v>88</v>
      </c>
      <c r="B1040" t="s">
        <v>212</v>
      </c>
      <c r="C1040" t="s">
        <v>213</v>
      </c>
      <c r="D1040" t="s">
        <v>32</v>
      </c>
      <c r="E1040" t="s">
        <v>54</v>
      </c>
      <c r="F1040" t="s">
        <v>51</v>
      </c>
      <c r="G1040" s="1">
        <v>45839</v>
      </c>
      <c r="H1040">
        <v>307</v>
      </c>
      <c r="I1040">
        <v>10</v>
      </c>
      <c r="J1040">
        <v>0.97</v>
      </c>
      <c r="K1040">
        <v>3723.5</v>
      </c>
      <c r="L1040" t="s">
        <v>18</v>
      </c>
    </row>
    <row r="1041" spans="1:12" x14ac:dyDescent="0.3">
      <c r="A1041">
        <v>88</v>
      </c>
      <c r="B1041" t="s">
        <v>212</v>
      </c>
      <c r="C1041" t="s">
        <v>213</v>
      </c>
      <c r="D1041" t="s">
        <v>32</v>
      </c>
      <c r="E1041" t="s">
        <v>54</v>
      </c>
      <c r="F1041" t="s">
        <v>51</v>
      </c>
      <c r="G1041" s="1">
        <v>45870</v>
      </c>
      <c r="H1041">
        <v>330</v>
      </c>
      <c r="I1041">
        <v>2</v>
      </c>
      <c r="J1041">
        <v>0.93</v>
      </c>
      <c r="K1041">
        <v>3965</v>
      </c>
      <c r="L1041" t="s">
        <v>18</v>
      </c>
    </row>
    <row r="1042" spans="1:12" x14ac:dyDescent="0.3">
      <c r="A1042">
        <v>88</v>
      </c>
      <c r="B1042" t="s">
        <v>212</v>
      </c>
      <c r="C1042" t="s">
        <v>213</v>
      </c>
      <c r="D1042" t="s">
        <v>32</v>
      </c>
      <c r="E1042" t="s">
        <v>54</v>
      </c>
      <c r="F1042" t="s">
        <v>51</v>
      </c>
      <c r="G1042" s="1">
        <v>45901</v>
      </c>
      <c r="H1042">
        <v>271</v>
      </c>
      <c r="I1042">
        <v>9</v>
      </c>
      <c r="J1042">
        <v>0.93</v>
      </c>
      <c r="K1042">
        <v>3345.5</v>
      </c>
      <c r="L1042" t="s">
        <v>18</v>
      </c>
    </row>
    <row r="1043" spans="1:12" x14ac:dyDescent="0.3">
      <c r="A1043">
        <v>88</v>
      </c>
      <c r="B1043" t="s">
        <v>212</v>
      </c>
      <c r="C1043" t="s">
        <v>213</v>
      </c>
      <c r="D1043" t="s">
        <v>32</v>
      </c>
      <c r="E1043" t="s">
        <v>54</v>
      </c>
      <c r="F1043" t="s">
        <v>51</v>
      </c>
      <c r="G1043" s="1">
        <v>45931</v>
      </c>
      <c r="H1043">
        <v>226</v>
      </c>
      <c r="I1043">
        <v>5</v>
      </c>
      <c r="J1043">
        <v>0.97</v>
      </c>
      <c r="K1043">
        <v>2873</v>
      </c>
      <c r="L1043" t="s">
        <v>18</v>
      </c>
    </row>
    <row r="1044" spans="1:12" x14ac:dyDescent="0.3">
      <c r="A1044">
        <v>88</v>
      </c>
      <c r="B1044" t="s">
        <v>212</v>
      </c>
      <c r="C1044" t="s">
        <v>213</v>
      </c>
      <c r="D1044" t="s">
        <v>32</v>
      </c>
      <c r="E1044" t="s">
        <v>54</v>
      </c>
      <c r="F1044" t="s">
        <v>51</v>
      </c>
      <c r="G1044" s="1">
        <v>45962</v>
      </c>
      <c r="H1044">
        <v>193</v>
      </c>
      <c r="I1044">
        <v>9</v>
      </c>
      <c r="J1044">
        <v>0.89</v>
      </c>
      <c r="K1044">
        <v>2526.5</v>
      </c>
      <c r="L1044" t="s">
        <v>17</v>
      </c>
    </row>
    <row r="1045" spans="1:12" x14ac:dyDescent="0.3">
      <c r="A1045">
        <v>88</v>
      </c>
      <c r="B1045" t="s">
        <v>212</v>
      </c>
      <c r="C1045" t="s">
        <v>213</v>
      </c>
      <c r="D1045" t="s">
        <v>32</v>
      </c>
      <c r="E1045" t="s">
        <v>54</v>
      </c>
      <c r="F1045" t="s">
        <v>51</v>
      </c>
      <c r="G1045" s="1">
        <v>45992</v>
      </c>
      <c r="H1045">
        <v>271</v>
      </c>
      <c r="I1045">
        <v>6</v>
      </c>
      <c r="J1045">
        <v>0.93</v>
      </c>
      <c r="K1045">
        <v>3345.5</v>
      </c>
      <c r="L1045" t="s">
        <v>18</v>
      </c>
    </row>
    <row r="1046" spans="1:12" x14ac:dyDescent="0.3">
      <c r="A1046">
        <v>89</v>
      </c>
      <c r="B1046" t="s">
        <v>214</v>
      </c>
      <c r="C1046" t="s">
        <v>215</v>
      </c>
      <c r="D1046" t="s">
        <v>42</v>
      </c>
      <c r="E1046" t="s">
        <v>57</v>
      </c>
      <c r="F1046" t="s">
        <v>51</v>
      </c>
      <c r="G1046" s="1">
        <v>45658</v>
      </c>
      <c r="H1046">
        <v>271</v>
      </c>
      <c r="I1046">
        <v>3</v>
      </c>
      <c r="J1046">
        <v>0.98</v>
      </c>
      <c r="K1046">
        <v>1375.8</v>
      </c>
      <c r="L1046" t="s">
        <v>18</v>
      </c>
    </row>
    <row r="1047" spans="1:12" x14ac:dyDescent="0.3">
      <c r="A1047">
        <v>89</v>
      </c>
      <c r="B1047" t="s">
        <v>214</v>
      </c>
      <c r="C1047" t="s">
        <v>215</v>
      </c>
      <c r="D1047" t="s">
        <v>42</v>
      </c>
      <c r="E1047" t="s">
        <v>57</v>
      </c>
      <c r="F1047" t="s">
        <v>51</v>
      </c>
      <c r="G1047" s="1">
        <v>45689</v>
      </c>
      <c r="H1047">
        <v>235</v>
      </c>
      <c r="I1047">
        <v>2</v>
      </c>
      <c r="J1047">
        <v>0.92</v>
      </c>
      <c r="K1047">
        <v>1203</v>
      </c>
      <c r="L1047" t="s">
        <v>17</v>
      </c>
    </row>
    <row r="1048" spans="1:12" x14ac:dyDescent="0.3">
      <c r="A1048">
        <v>89</v>
      </c>
      <c r="B1048" t="s">
        <v>214</v>
      </c>
      <c r="C1048" t="s">
        <v>215</v>
      </c>
      <c r="D1048" t="s">
        <v>42</v>
      </c>
      <c r="E1048" t="s">
        <v>57</v>
      </c>
      <c r="F1048" t="s">
        <v>51</v>
      </c>
      <c r="G1048" s="1">
        <v>45717</v>
      </c>
      <c r="H1048">
        <v>150</v>
      </c>
      <c r="I1048">
        <v>5</v>
      </c>
      <c r="J1048">
        <v>0.98</v>
      </c>
      <c r="K1048">
        <v>795</v>
      </c>
      <c r="L1048" t="s">
        <v>18</v>
      </c>
    </row>
    <row r="1049" spans="1:12" x14ac:dyDescent="0.3">
      <c r="A1049">
        <v>89</v>
      </c>
      <c r="B1049" t="s">
        <v>214</v>
      </c>
      <c r="C1049" t="s">
        <v>215</v>
      </c>
      <c r="D1049" t="s">
        <v>42</v>
      </c>
      <c r="E1049" t="s">
        <v>57</v>
      </c>
      <c r="F1049" t="s">
        <v>51</v>
      </c>
      <c r="G1049" s="1">
        <v>45748</v>
      </c>
      <c r="H1049">
        <v>348</v>
      </c>
      <c r="I1049">
        <v>6</v>
      </c>
      <c r="J1049">
        <v>0.93</v>
      </c>
      <c r="K1049">
        <v>1745.4</v>
      </c>
      <c r="L1049" t="s">
        <v>18</v>
      </c>
    </row>
    <row r="1050" spans="1:12" x14ac:dyDescent="0.3">
      <c r="A1050">
        <v>89</v>
      </c>
      <c r="B1050" t="s">
        <v>214</v>
      </c>
      <c r="C1050" t="s">
        <v>215</v>
      </c>
      <c r="D1050" t="s">
        <v>42</v>
      </c>
      <c r="E1050" t="s">
        <v>57</v>
      </c>
      <c r="F1050" t="s">
        <v>51</v>
      </c>
      <c r="G1050" s="1">
        <v>45778</v>
      </c>
      <c r="H1050">
        <v>273</v>
      </c>
      <c r="I1050">
        <v>9</v>
      </c>
      <c r="J1050">
        <v>0.95</v>
      </c>
      <c r="K1050">
        <v>1385.4</v>
      </c>
      <c r="L1050" t="s">
        <v>18</v>
      </c>
    </row>
    <row r="1051" spans="1:12" x14ac:dyDescent="0.3">
      <c r="A1051">
        <v>89</v>
      </c>
      <c r="B1051" t="s">
        <v>214</v>
      </c>
      <c r="C1051" t="s">
        <v>215</v>
      </c>
      <c r="D1051" t="s">
        <v>42</v>
      </c>
      <c r="E1051" t="s">
        <v>57</v>
      </c>
      <c r="F1051" t="s">
        <v>51</v>
      </c>
      <c r="G1051" s="1">
        <v>45809</v>
      </c>
      <c r="H1051">
        <v>195</v>
      </c>
      <c r="I1051">
        <v>4</v>
      </c>
      <c r="J1051">
        <v>0.99</v>
      </c>
      <c r="K1051">
        <v>1011</v>
      </c>
      <c r="L1051" t="s">
        <v>18</v>
      </c>
    </row>
    <row r="1052" spans="1:12" x14ac:dyDescent="0.3">
      <c r="A1052">
        <v>89</v>
      </c>
      <c r="B1052" t="s">
        <v>214</v>
      </c>
      <c r="C1052" t="s">
        <v>215</v>
      </c>
      <c r="D1052" t="s">
        <v>42</v>
      </c>
      <c r="E1052" t="s">
        <v>57</v>
      </c>
      <c r="F1052" t="s">
        <v>51</v>
      </c>
      <c r="G1052" s="1">
        <v>45839</v>
      </c>
      <c r="H1052">
        <v>241</v>
      </c>
      <c r="I1052">
        <v>2</v>
      </c>
      <c r="J1052">
        <v>0.87</v>
      </c>
      <c r="K1052">
        <v>1231.8</v>
      </c>
      <c r="L1052" t="s">
        <v>18</v>
      </c>
    </row>
    <row r="1053" spans="1:12" x14ac:dyDescent="0.3">
      <c r="A1053">
        <v>89</v>
      </c>
      <c r="B1053" t="s">
        <v>214</v>
      </c>
      <c r="C1053" t="s">
        <v>215</v>
      </c>
      <c r="D1053" t="s">
        <v>42</v>
      </c>
      <c r="E1053" t="s">
        <v>57</v>
      </c>
      <c r="F1053" t="s">
        <v>51</v>
      </c>
      <c r="G1053" s="1">
        <v>45870</v>
      </c>
      <c r="H1053">
        <v>240</v>
      </c>
      <c r="I1053">
        <v>5</v>
      </c>
      <c r="J1053">
        <v>0.97</v>
      </c>
      <c r="K1053">
        <v>1227</v>
      </c>
      <c r="L1053" t="s">
        <v>18</v>
      </c>
    </row>
    <row r="1054" spans="1:12" x14ac:dyDescent="0.3">
      <c r="A1054">
        <v>89</v>
      </c>
      <c r="B1054" t="s">
        <v>214</v>
      </c>
      <c r="C1054" t="s">
        <v>215</v>
      </c>
      <c r="D1054" t="s">
        <v>42</v>
      </c>
      <c r="E1054" t="s">
        <v>57</v>
      </c>
      <c r="F1054" t="s">
        <v>51</v>
      </c>
      <c r="G1054" s="1">
        <v>45901</v>
      </c>
      <c r="H1054">
        <v>349</v>
      </c>
      <c r="I1054">
        <v>7</v>
      </c>
      <c r="J1054">
        <v>0.98</v>
      </c>
      <c r="K1054">
        <v>1750.2</v>
      </c>
      <c r="L1054" t="s">
        <v>18</v>
      </c>
    </row>
    <row r="1055" spans="1:12" x14ac:dyDescent="0.3">
      <c r="A1055">
        <v>89</v>
      </c>
      <c r="B1055" t="s">
        <v>214</v>
      </c>
      <c r="C1055" t="s">
        <v>215</v>
      </c>
      <c r="D1055" t="s">
        <v>42</v>
      </c>
      <c r="E1055" t="s">
        <v>57</v>
      </c>
      <c r="F1055" t="s">
        <v>51</v>
      </c>
      <c r="G1055" s="1">
        <v>45931</v>
      </c>
      <c r="H1055">
        <v>382</v>
      </c>
      <c r="I1055">
        <v>8</v>
      </c>
      <c r="J1055">
        <v>0.96</v>
      </c>
      <c r="K1055">
        <v>1908.6</v>
      </c>
      <c r="L1055" t="s">
        <v>18</v>
      </c>
    </row>
    <row r="1056" spans="1:12" x14ac:dyDescent="0.3">
      <c r="A1056">
        <v>89</v>
      </c>
      <c r="B1056" t="s">
        <v>214</v>
      </c>
      <c r="C1056" t="s">
        <v>215</v>
      </c>
      <c r="D1056" t="s">
        <v>42</v>
      </c>
      <c r="E1056" t="s">
        <v>57</v>
      </c>
      <c r="F1056" t="s">
        <v>51</v>
      </c>
      <c r="G1056" s="1">
        <v>45962</v>
      </c>
      <c r="H1056">
        <v>203</v>
      </c>
      <c r="I1056">
        <v>2</v>
      </c>
      <c r="J1056">
        <v>0.94</v>
      </c>
      <c r="K1056">
        <v>1049.4000000000001</v>
      </c>
      <c r="L1056" t="s">
        <v>18</v>
      </c>
    </row>
    <row r="1057" spans="1:12" x14ac:dyDescent="0.3">
      <c r="A1057">
        <v>89</v>
      </c>
      <c r="B1057" t="s">
        <v>214</v>
      </c>
      <c r="C1057" t="s">
        <v>215</v>
      </c>
      <c r="D1057" t="s">
        <v>42</v>
      </c>
      <c r="E1057" t="s">
        <v>57</v>
      </c>
      <c r="F1057" t="s">
        <v>51</v>
      </c>
      <c r="G1057" s="1">
        <v>45992</v>
      </c>
      <c r="H1057">
        <v>326</v>
      </c>
      <c r="I1057">
        <v>5</v>
      </c>
      <c r="J1057">
        <v>0.97</v>
      </c>
      <c r="K1057">
        <v>1639.8</v>
      </c>
      <c r="L1057" t="s">
        <v>18</v>
      </c>
    </row>
    <row r="1058" spans="1:12" x14ac:dyDescent="0.3">
      <c r="A1058">
        <v>90</v>
      </c>
      <c r="B1058" t="s">
        <v>216</v>
      </c>
      <c r="C1058" t="s">
        <v>217</v>
      </c>
      <c r="D1058" t="s">
        <v>14</v>
      </c>
      <c r="E1058" t="s">
        <v>33</v>
      </c>
      <c r="F1058" t="s">
        <v>34</v>
      </c>
      <c r="G1058" s="1">
        <v>45658</v>
      </c>
      <c r="H1058">
        <v>167</v>
      </c>
      <c r="I1058">
        <v>7</v>
      </c>
      <c r="J1058">
        <v>0.9</v>
      </c>
      <c r="K1058">
        <v>1185.5</v>
      </c>
      <c r="L1058" t="s">
        <v>18</v>
      </c>
    </row>
    <row r="1059" spans="1:12" x14ac:dyDescent="0.3">
      <c r="A1059">
        <v>90</v>
      </c>
      <c r="B1059" t="s">
        <v>216</v>
      </c>
      <c r="C1059" t="s">
        <v>217</v>
      </c>
      <c r="D1059" t="s">
        <v>14</v>
      </c>
      <c r="E1059" t="s">
        <v>33</v>
      </c>
      <c r="F1059" t="s">
        <v>34</v>
      </c>
      <c r="G1059" s="1">
        <v>45689</v>
      </c>
      <c r="H1059">
        <v>155</v>
      </c>
      <c r="I1059">
        <v>8</v>
      </c>
      <c r="J1059">
        <v>0.87</v>
      </c>
      <c r="K1059">
        <v>1107.5</v>
      </c>
      <c r="L1059" t="s">
        <v>18</v>
      </c>
    </row>
    <row r="1060" spans="1:12" x14ac:dyDescent="0.3">
      <c r="A1060">
        <v>90</v>
      </c>
      <c r="B1060" t="s">
        <v>216</v>
      </c>
      <c r="C1060" t="s">
        <v>217</v>
      </c>
      <c r="D1060" t="s">
        <v>14</v>
      </c>
      <c r="E1060" t="s">
        <v>33</v>
      </c>
      <c r="F1060" t="s">
        <v>34</v>
      </c>
      <c r="G1060" s="1">
        <v>45717</v>
      </c>
      <c r="H1060">
        <v>246</v>
      </c>
      <c r="I1060">
        <v>4</v>
      </c>
      <c r="J1060">
        <v>0.86</v>
      </c>
      <c r="K1060">
        <v>1699</v>
      </c>
      <c r="L1060" t="s">
        <v>18</v>
      </c>
    </row>
    <row r="1061" spans="1:12" x14ac:dyDescent="0.3">
      <c r="A1061">
        <v>90</v>
      </c>
      <c r="B1061" t="s">
        <v>216</v>
      </c>
      <c r="C1061" t="s">
        <v>217</v>
      </c>
      <c r="D1061" t="s">
        <v>14</v>
      </c>
      <c r="E1061" t="s">
        <v>33</v>
      </c>
      <c r="F1061" t="s">
        <v>34</v>
      </c>
      <c r="G1061" s="1">
        <v>45748</v>
      </c>
      <c r="H1061">
        <v>360</v>
      </c>
      <c r="I1061">
        <v>10</v>
      </c>
      <c r="J1061">
        <v>0.98</v>
      </c>
      <c r="K1061">
        <v>2440</v>
      </c>
      <c r="L1061" t="s">
        <v>18</v>
      </c>
    </row>
    <row r="1062" spans="1:12" x14ac:dyDescent="0.3">
      <c r="A1062">
        <v>90</v>
      </c>
      <c r="B1062" t="s">
        <v>216</v>
      </c>
      <c r="C1062" t="s">
        <v>217</v>
      </c>
      <c r="D1062" t="s">
        <v>14</v>
      </c>
      <c r="E1062" t="s">
        <v>33</v>
      </c>
      <c r="F1062" t="s">
        <v>34</v>
      </c>
      <c r="G1062" s="1">
        <v>45778</v>
      </c>
      <c r="H1062">
        <v>382</v>
      </c>
      <c r="I1062">
        <v>8</v>
      </c>
      <c r="J1062">
        <v>0.97</v>
      </c>
      <c r="K1062">
        <v>2583</v>
      </c>
      <c r="L1062" t="s">
        <v>18</v>
      </c>
    </row>
    <row r="1063" spans="1:12" x14ac:dyDescent="0.3">
      <c r="A1063">
        <v>90</v>
      </c>
      <c r="B1063" t="s">
        <v>216</v>
      </c>
      <c r="C1063" t="s">
        <v>217</v>
      </c>
      <c r="D1063" t="s">
        <v>14</v>
      </c>
      <c r="E1063" t="s">
        <v>33</v>
      </c>
      <c r="F1063" t="s">
        <v>34</v>
      </c>
      <c r="G1063" s="1">
        <v>45809</v>
      </c>
      <c r="H1063">
        <v>331</v>
      </c>
      <c r="I1063">
        <v>9</v>
      </c>
      <c r="J1063">
        <v>0.89</v>
      </c>
      <c r="K1063">
        <v>2251.5</v>
      </c>
      <c r="L1063" t="s">
        <v>18</v>
      </c>
    </row>
    <row r="1064" spans="1:12" x14ac:dyDescent="0.3">
      <c r="A1064">
        <v>90</v>
      </c>
      <c r="B1064" t="s">
        <v>216</v>
      </c>
      <c r="C1064" t="s">
        <v>217</v>
      </c>
      <c r="D1064" t="s">
        <v>14</v>
      </c>
      <c r="E1064" t="s">
        <v>33</v>
      </c>
      <c r="F1064" t="s">
        <v>34</v>
      </c>
      <c r="G1064" s="1">
        <v>45839</v>
      </c>
      <c r="H1064">
        <v>338</v>
      </c>
      <c r="I1064">
        <v>5</v>
      </c>
      <c r="J1064">
        <v>0.88</v>
      </c>
      <c r="K1064">
        <v>2297</v>
      </c>
      <c r="L1064" t="s">
        <v>18</v>
      </c>
    </row>
    <row r="1065" spans="1:12" x14ac:dyDescent="0.3">
      <c r="A1065">
        <v>90</v>
      </c>
      <c r="B1065" t="s">
        <v>216</v>
      </c>
      <c r="C1065" t="s">
        <v>217</v>
      </c>
      <c r="D1065" t="s">
        <v>14</v>
      </c>
      <c r="E1065" t="s">
        <v>33</v>
      </c>
      <c r="F1065" t="s">
        <v>34</v>
      </c>
      <c r="G1065" s="1">
        <v>45870</v>
      </c>
      <c r="H1065">
        <v>152</v>
      </c>
      <c r="I1065">
        <v>3</v>
      </c>
      <c r="J1065">
        <v>0.89</v>
      </c>
      <c r="K1065">
        <v>1088</v>
      </c>
      <c r="L1065" t="s">
        <v>18</v>
      </c>
    </row>
    <row r="1066" spans="1:12" x14ac:dyDescent="0.3">
      <c r="A1066">
        <v>90</v>
      </c>
      <c r="B1066" t="s">
        <v>216</v>
      </c>
      <c r="C1066" t="s">
        <v>217</v>
      </c>
      <c r="D1066" t="s">
        <v>14</v>
      </c>
      <c r="E1066" t="s">
        <v>33</v>
      </c>
      <c r="F1066" t="s">
        <v>34</v>
      </c>
      <c r="G1066" s="1">
        <v>45901</v>
      </c>
      <c r="H1066">
        <v>250</v>
      </c>
      <c r="I1066">
        <v>3</v>
      </c>
      <c r="J1066">
        <v>0.93</v>
      </c>
      <c r="K1066">
        <v>1725</v>
      </c>
      <c r="L1066" t="s">
        <v>18</v>
      </c>
    </row>
    <row r="1067" spans="1:12" x14ac:dyDescent="0.3">
      <c r="A1067">
        <v>90</v>
      </c>
      <c r="B1067" t="s">
        <v>216</v>
      </c>
      <c r="C1067" t="s">
        <v>217</v>
      </c>
      <c r="D1067" t="s">
        <v>14</v>
      </c>
      <c r="E1067" t="s">
        <v>33</v>
      </c>
      <c r="F1067" t="s">
        <v>34</v>
      </c>
      <c r="G1067" s="1">
        <v>45931</v>
      </c>
      <c r="H1067">
        <v>394</v>
      </c>
      <c r="I1067">
        <v>6</v>
      </c>
      <c r="J1067">
        <v>0.93</v>
      </c>
      <c r="K1067">
        <v>2661</v>
      </c>
      <c r="L1067" t="s">
        <v>18</v>
      </c>
    </row>
    <row r="1068" spans="1:12" x14ac:dyDescent="0.3">
      <c r="A1068">
        <v>90</v>
      </c>
      <c r="B1068" t="s">
        <v>216</v>
      </c>
      <c r="C1068" t="s">
        <v>217</v>
      </c>
      <c r="D1068" t="s">
        <v>14</v>
      </c>
      <c r="E1068" t="s">
        <v>33</v>
      </c>
      <c r="F1068" t="s">
        <v>34</v>
      </c>
      <c r="G1068" s="1">
        <v>45962</v>
      </c>
      <c r="H1068">
        <v>381</v>
      </c>
      <c r="I1068">
        <v>4</v>
      </c>
      <c r="J1068">
        <v>0.88</v>
      </c>
      <c r="K1068">
        <v>2576.5</v>
      </c>
      <c r="L1068" t="s">
        <v>18</v>
      </c>
    </row>
    <row r="1069" spans="1:12" x14ac:dyDescent="0.3">
      <c r="A1069">
        <v>90</v>
      </c>
      <c r="B1069" t="s">
        <v>216</v>
      </c>
      <c r="C1069" t="s">
        <v>217</v>
      </c>
      <c r="D1069" t="s">
        <v>14</v>
      </c>
      <c r="E1069" t="s">
        <v>33</v>
      </c>
      <c r="F1069" t="s">
        <v>34</v>
      </c>
      <c r="G1069" s="1">
        <v>45992</v>
      </c>
      <c r="H1069">
        <v>304</v>
      </c>
      <c r="I1069">
        <v>4</v>
      </c>
      <c r="J1069">
        <v>0.94</v>
      </c>
      <c r="K1069">
        <v>2076</v>
      </c>
      <c r="L1069" t="s">
        <v>18</v>
      </c>
    </row>
    <row r="1070" spans="1:12" x14ac:dyDescent="0.3">
      <c r="A1070">
        <v>91</v>
      </c>
      <c r="B1070" t="s">
        <v>218</v>
      </c>
      <c r="C1070" t="s">
        <v>219</v>
      </c>
      <c r="D1070" t="s">
        <v>24</v>
      </c>
      <c r="E1070" t="s">
        <v>62</v>
      </c>
      <c r="F1070" t="s">
        <v>34</v>
      </c>
      <c r="G1070" s="1">
        <v>45658</v>
      </c>
      <c r="H1070">
        <v>202</v>
      </c>
      <c r="I1070">
        <v>3</v>
      </c>
      <c r="J1070">
        <v>0.98</v>
      </c>
      <c r="K1070">
        <v>1906.4</v>
      </c>
      <c r="L1070" t="s">
        <v>17</v>
      </c>
    </row>
    <row r="1071" spans="1:12" x14ac:dyDescent="0.3">
      <c r="A1071">
        <v>91</v>
      </c>
      <c r="B1071" t="s">
        <v>218</v>
      </c>
      <c r="C1071" t="s">
        <v>219</v>
      </c>
      <c r="D1071" t="s">
        <v>24</v>
      </c>
      <c r="E1071" t="s">
        <v>62</v>
      </c>
      <c r="F1071" t="s">
        <v>34</v>
      </c>
      <c r="G1071" s="1">
        <v>45689</v>
      </c>
      <c r="H1071">
        <v>185</v>
      </c>
      <c r="I1071">
        <v>3</v>
      </c>
      <c r="J1071">
        <v>0.96</v>
      </c>
      <c r="K1071">
        <v>1767</v>
      </c>
      <c r="L1071" t="s">
        <v>18</v>
      </c>
    </row>
    <row r="1072" spans="1:12" x14ac:dyDescent="0.3">
      <c r="A1072">
        <v>91</v>
      </c>
      <c r="B1072" t="s">
        <v>218</v>
      </c>
      <c r="C1072" t="s">
        <v>219</v>
      </c>
      <c r="D1072" t="s">
        <v>24</v>
      </c>
      <c r="E1072" t="s">
        <v>62</v>
      </c>
      <c r="F1072" t="s">
        <v>34</v>
      </c>
      <c r="G1072" s="1">
        <v>45717</v>
      </c>
      <c r="H1072">
        <v>153</v>
      </c>
      <c r="I1072">
        <v>3</v>
      </c>
      <c r="J1072">
        <v>0.93</v>
      </c>
      <c r="K1072">
        <v>1504.6</v>
      </c>
      <c r="L1072" t="s">
        <v>18</v>
      </c>
    </row>
    <row r="1073" spans="1:12" x14ac:dyDescent="0.3">
      <c r="A1073">
        <v>91</v>
      </c>
      <c r="B1073" t="s">
        <v>218</v>
      </c>
      <c r="C1073" t="s">
        <v>219</v>
      </c>
      <c r="D1073" t="s">
        <v>24</v>
      </c>
      <c r="E1073" t="s">
        <v>62</v>
      </c>
      <c r="F1073" t="s">
        <v>34</v>
      </c>
      <c r="G1073" s="1">
        <v>45748</v>
      </c>
      <c r="H1073">
        <v>243</v>
      </c>
      <c r="I1073">
        <v>10</v>
      </c>
      <c r="J1073">
        <v>0.98</v>
      </c>
      <c r="K1073">
        <v>2242.6</v>
      </c>
      <c r="L1073" t="s">
        <v>18</v>
      </c>
    </row>
    <row r="1074" spans="1:12" x14ac:dyDescent="0.3">
      <c r="A1074">
        <v>91</v>
      </c>
      <c r="B1074" t="s">
        <v>218</v>
      </c>
      <c r="C1074" t="s">
        <v>219</v>
      </c>
      <c r="D1074" t="s">
        <v>24</v>
      </c>
      <c r="E1074" t="s">
        <v>62</v>
      </c>
      <c r="F1074" t="s">
        <v>34</v>
      </c>
      <c r="G1074" s="1">
        <v>45778</v>
      </c>
      <c r="H1074">
        <v>385</v>
      </c>
      <c r="I1074">
        <v>8</v>
      </c>
      <c r="J1074">
        <v>0.98</v>
      </c>
      <c r="K1074">
        <v>3407</v>
      </c>
      <c r="L1074" t="s">
        <v>17</v>
      </c>
    </row>
    <row r="1075" spans="1:12" x14ac:dyDescent="0.3">
      <c r="A1075">
        <v>91</v>
      </c>
      <c r="B1075" t="s">
        <v>218</v>
      </c>
      <c r="C1075" t="s">
        <v>219</v>
      </c>
      <c r="D1075" t="s">
        <v>24</v>
      </c>
      <c r="E1075" t="s">
        <v>62</v>
      </c>
      <c r="F1075" t="s">
        <v>34</v>
      </c>
      <c r="G1075" s="1">
        <v>45809</v>
      </c>
      <c r="H1075">
        <v>387</v>
      </c>
      <c r="I1075">
        <v>3</v>
      </c>
      <c r="J1075">
        <v>0.98</v>
      </c>
      <c r="K1075">
        <v>3423.4</v>
      </c>
      <c r="L1075" t="s">
        <v>17</v>
      </c>
    </row>
    <row r="1076" spans="1:12" x14ac:dyDescent="0.3">
      <c r="A1076">
        <v>91</v>
      </c>
      <c r="B1076" t="s">
        <v>218</v>
      </c>
      <c r="C1076" t="s">
        <v>219</v>
      </c>
      <c r="D1076" t="s">
        <v>24</v>
      </c>
      <c r="E1076" t="s">
        <v>62</v>
      </c>
      <c r="F1076" t="s">
        <v>34</v>
      </c>
      <c r="G1076" s="1">
        <v>45839</v>
      </c>
      <c r="H1076">
        <v>342</v>
      </c>
      <c r="I1076">
        <v>7</v>
      </c>
      <c r="J1076">
        <v>0.93</v>
      </c>
      <c r="K1076">
        <v>3054.4</v>
      </c>
      <c r="L1076" t="s">
        <v>18</v>
      </c>
    </row>
    <row r="1077" spans="1:12" x14ac:dyDescent="0.3">
      <c r="A1077">
        <v>91</v>
      </c>
      <c r="B1077" t="s">
        <v>218</v>
      </c>
      <c r="C1077" t="s">
        <v>219</v>
      </c>
      <c r="D1077" t="s">
        <v>24</v>
      </c>
      <c r="E1077" t="s">
        <v>62</v>
      </c>
      <c r="F1077" t="s">
        <v>34</v>
      </c>
      <c r="G1077" s="1">
        <v>45870</v>
      </c>
      <c r="H1077">
        <v>338</v>
      </c>
      <c r="I1077">
        <v>4</v>
      </c>
      <c r="J1077">
        <v>0.88</v>
      </c>
      <c r="K1077">
        <v>3021.6</v>
      </c>
      <c r="L1077" t="s">
        <v>17</v>
      </c>
    </row>
    <row r="1078" spans="1:12" x14ac:dyDescent="0.3">
      <c r="A1078">
        <v>91</v>
      </c>
      <c r="B1078" t="s">
        <v>218</v>
      </c>
      <c r="C1078" t="s">
        <v>219</v>
      </c>
      <c r="D1078" t="s">
        <v>24</v>
      </c>
      <c r="E1078" t="s">
        <v>62</v>
      </c>
      <c r="F1078" t="s">
        <v>34</v>
      </c>
      <c r="G1078" s="1">
        <v>45901</v>
      </c>
      <c r="H1078">
        <v>274</v>
      </c>
      <c r="I1078">
        <v>9</v>
      </c>
      <c r="J1078">
        <v>0.86</v>
      </c>
      <c r="K1078">
        <v>2496.8000000000002</v>
      </c>
      <c r="L1078" t="s">
        <v>18</v>
      </c>
    </row>
    <row r="1079" spans="1:12" x14ac:dyDescent="0.3">
      <c r="A1079">
        <v>91</v>
      </c>
      <c r="B1079" t="s">
        <v>218</v>
      </c>
      <c r="C1079" t="s">
        <v>219</v>
      </c>
      <c r="D1079" t="s">
        <v>24</v>
      </c>
      <c r="E1079" t="s">
        <v>62</v>
      </c>
      <c r="F1079" t="s">
        <v>34</v>
      </c>
      <c r="G1079" s="1">
        <v>45931</v>
      </c>
      <c r="H1079">
        <v>209</v>
      </c>
      <c r="I1079">
        <v>5</v>
      </c>
      <c r="J1079">
        <v>0.86</v>
      </c>
      <c r="K1079">
        <v>1963.8</v>
      </c>
      <c r="L1079" t="s">
        <v>18</v>
      </c>
    </row>
    <row r="1080" spans="1:12" x14ac:dyDescent="0.3">
      <c r="A1080">
        <v>91</v>
      </c>
      <c r="B1080" t="s">
        <v>218</v>
      </c>
      <c r="C1080" t="s">
        <v>219</v>
      </c>
      <c r="D1080" t="s">
        <v>24</v>
      </c>
      <c r="E1080" t="s">
        <v>62</v>
      </c>
      <c r="F1080" t="s">
        <v>34</v>
      </c>
      <c r="G1080" s="1">
        <v>45962</v>
      </c>
      <c r="H1080">
        <v>188</v>
      </c>
      <c r="I1080">
        <v>7</v>
      </c>
      <c r="J1080">
        <v>0.96</v>
      </c>
      <c r="K1080">
        <v>1791.6</v>
      </c>
      <c r="L1080" t="s">
        <v>18</v>
      </c>
    </row>
    <row r="1081" spans="1:12" x14ac:dyDescent="0.3">
      <c r="A1081">
        <v>91</v>
      </c>
      <c r="B1081" t="s">
        <v>218</v>
      </c>
      <c r="C1081" t="s">
        <v>219</v>
      </c>
      <c r="D1081" t="s">
        <v>24</v>
      </c>
      <c r="E1081" t="s">
        <v>62</v>
      </c>
      <c r="F1081" t="s">
        <v>34</v>
      </c>
      <c r="G1081" s="1">
        <v>45992</v>
      </c>
      <c r="H1081">
        <v>216</v>
      </c>
      <c r="I1081">
        <v>8</v>
      </c>
      <c r="J1081">
        <v>0.91</v>
      </c>
      <c r="K1081">
        <v>2021.2</v>
      </c>
      <c r="L1081" t="s">
        <v>18</v>
      </c>
    </row>
    <row r="1082" spans="1:12" x14ac:dyDescent="0.3">
      <c r="A1082">
        <v>92</v>
      </c>
      <c r="B1082" t="s">
        <v>220</v>
      </c>
      <c r="C1082" t="s">
        <v>221</v>
      </c>
      <c r="D1082" t="s">
        <v>32</v>
      </c>
      <c r="E1082" t="s">
        <v>65</v>
      </c>
      <c r="F1082" t="s">
        <v>66</v>
      </c>
      <c r="G1082" s="1">
        <v>45658</v>
      </c>
      <c r="H1082">
        <v>311</v>
      </c>
      <c r="I1082">
        <v>3</v>
      </c>
      <c r="J1082">
        <v>0.88</v>
      </c>
      <c r="K1082">
        <v>3765.5</v>
      </c>
      <c r="L1082" t="s">
        <v>18</v>
      </c>
    </row>
    <row r="1083" spans="1:12" x14ac:dyDescent="0.3">
      <c r="A1083">
        <v>92</v>
      </c>
      <c r="B1083" t="s">
        <v>220</v>
      </c>
      <c r="C1083" t="s">
        <v>221</v>
      </c>
      <c r="D1083" t="s">
        <v>32</v>
      </c>
      <c r="E1083" t="s">
        <v>65</v>
      </c>
      <c r="F1083" t="s">
        <v>66</v>
      </c>
      <c r="G1083" s="1">
        <v>45689</v>
      </c>
      <c r="H1083">
        <v>287</v>
      </c>
      <c r="I1083">
        <v>2</v>
      </c>
      <c r="J1083">
        <v>0.91</v>
      </c>
      <c r="K1083">
        <v>3513.5</v>
      </c>
      <c r="L1083" t="s">
        <v>18</v>
      </c>
    </row>
    <row r="1084" spans="1:12" x14ac:dyDescent="0.3">
      <c r="A1084">
        <v>92</v>
      </c>
      <c r="B1084" t="s">
        <v>220</v>
      </c>
      <c r="C1084" t="s">
        <v>221</v>
      </c>
      <c r="D1084" t="s">
        <v>32</v>
      </c>
      <c r="E1084" t="s">
        <v>65</v>
      </c>
      <c r="F1084" t="s">
        <v>66</v>
      </c>
      <c r="G1084" s="1">
        <v>45717</v>
      </c>
      <c r="H1084">
        <v>344</v>
      </c>
      <c r="I1084">
        <v>5</v>
      </c>
      <c r="J1084">
        <v>0.95</v>
      </c>
      <c r="K1084">
        <v>4112</v>
      </c>
      <c r="L1084" t="s">
        <v>18</v>
      </c>
    </row>
    <row r="1085" spans="1:12" x14ac:dyDescent="0.3">
      <c r="A1085">
        <v>92</v>
      </c>
      <c r="B1085" t="s">
        <v>220</v>
      </c>
      <c r="C1085" t="s">
        <v>221</v>
      </c>
      <c r="D1085" t="s">
        <v>32</v>
      </c>
      <c r="E1085" t="s">
        <v>65</v>
      </c>
      <c r="F1085" t="s">
        <v>66</v>
      </c>
      <c r="G1085" s="1">
        <v>45748</v>
      </c>
      <c r="H1085">
        <v>338</v>
      </c>
      <c r="I1085">
        <v>8</v>
      </c>
      <c r="J1085">
        <v>0.98</v>
      </c>
      <c r="K1085">
        <v>4049</v>
      </c>
      <c r="L1085" t="s">
        <v>18</v>
      </c>
    </row>
    <row r="1086" spans="1:12" x14ac:dyDescent="0.3">
      <c r="A1086">
        <v>92</v>
      </c>
      <c r="B1086" t="s">
        <v>220</v>
      </c>
      <c r="C1086" t="s">
        <v>221</v>
      </c>
      <c r="D1086" t="s">
        <v>32</v>
      </c>
      <c r="E1086" t="s">
        <v>65</v>
      </c>
      <c r="F1086" t="s">
        <v>66</v>
      </c>
      <c r="G1086" s="1">
        <v>45778</v>
      </c>
      <c r="H1086">
        <v>358</v>
      </c>
      <c r="I1086">
        <v>4</v>
      </c>
      <c r="J1086">
        <v>0.87</v>
      </c>
      <c r="K1086">
        <v>4259</v>
      </c>
      <c r="L1086" t="s">
        <v>18</v>
      </c>
    </row>
    <row r="1087" spans="1:12" x14ac:dyDescent="0.3">
      <c r="A1087">
        <v>92</v>
      </c>
      <c r="B1087" t="s">
        <v>220</v>
      </c>
      <c r="C1087" t="s">
        <v>221</v>
      </c>
      <c r="D1087" t="s">
        <v>32</v>
      </c>
      <c r="E1087" t="s">
        <v>65</v>
      </c>
      <c r="F1087" t="s">
        <v>66</v>
      </c>
      <c r="G1087" s="1">
        <v>45809</v>
      </c>
      <c r="H1087">
        <v>209</v>
      </c>
      <c r="I1087">
        <v>7</v>
      </c>
      <c r="J1087">
        <v>0.87</v>
      </c>
      <c r="K1087">
        <v>2694.5</v>
      </c>
      <c r="L1087" t="s">
        <v>18</v>
      </c>
    </row>
    <row r="1088" spans="1:12" x14ac:dyDescent="0.3">
      <c r="A1088">
        <v>92</v>
      </c>
      <c r="B1088" t="s">
        <v>220</v>
      </c>
      <c r="C1088" t="s">
        <v>221</v>
      </c>
      <c r="D1088" t="s">
        <v>32</v>
      </c>
      <c r="E1088" t="s">
        <v>65</v>
      </c>
      <c r="F1088" t="s">
        <v>66</v>
      </c>
      <c r="G1088" s="1">
        <v>45839</v>
      </c>
      <c r="H1088">
        <v>300</v>
      </c>
      <c r="I1088">
        <v>10</v>
      </c>
      <c r="J1088">
        <v>0.89</v>
      </c>
      <c r="K1088">
        <v>3650</v>
      </c>
      <c r="L1088" t="s">
        <v>18</v>
      </c>
    </row>
    <row r="1089" spans="1:12" x14ac:dyDescent="0.3">
      <c r="A1089">
        <v>92</v>
      </c>
      <c r="B1089" t="s">
        <v>220</v>
      </c>
      <c r="C1089" t="s">
        <v>221</v>
      </c>
      <c r="D1089" t="s">
        <v>32</v>
      </c>
      <c r="E1089" t="s">
        <v>65</v>
      </c>
      <c r="F1089" t="s">
        <v>66</v>
      </c>
      <c r="G1089" s="1">
        <v>45870</v>
      </c>
      <c r="H1089">
        <v>195</v>
      </c>
      <c r="I1089">
        <v>7</v>
      </c>
      <c r="J1089">
        <v>0.92</v>
      </c>
      <c r="K1089">
        <v>2547.5</v>
      </c>
      <c r="L1089" t="s">
        <v>18</v>
      </c>
    </row>
    <row r="1090" spans="1:12" x14ac:dyDescent="0.3">
      <c r="A1090">
        <v>92</v>
      </c>
      <c r="B1090" t="s">
        <v>220</v>
      </c>
      <c r="C1090" t="s">
        <v>221</v>
      </c>
      <c r="D1090" t="s">
        <v>32</v>
      </c>
      <c r="E1090" t="s">
        <v>65</v>
      </c>
      <c r="F1090" t="s">
        <v>66</v>
      </c>
      <c r="G1090" s="1">
        <v>45901</v>
      </c>
      <c r="H1090">
        <v>315</v>
      </c>
      <c r="I1090">
        <v>2</v>
      </c>
      <c r="J1090">
        <v>0.98</v>
      </c>
      <c r="K1090">
        <v>3807.5</v>
      </c>
      <c r="L1090" t="s">
        <v>18</v>
      </c>
    </row>
    <row r="1091" spans="1:12" x14ac:dyDescent="0.3">
      <c r="A1091">
        <v>92</v>
      </c>
      <c r="B1091" t="s">
        <v>220</v>
      </c>
      <c r="C1091" t="s">
        <v>221</v>
      </c>
      <c r="D1091" t="s">
        <v>32</v>
      </c>
      <c r="E1091" t="s">
        <v>65</v>
      </c>
      <c r="F1091" t="s">
        <v>66</v>
      </c>
      <c r="G1091" s="1">
        <v>45931</v>
      </c>
      <c r="H1091">
        <v>211</v>
      </c>
      <c r="I1091">
        <v>7</v>
      </c>
      <c r="J1091">
        <v>0.98</v>
      </c>
      <c r="K1091">
        <v>2715.5</v>
      </c>
      <c r="L1091" t="s">
        <v>18</v>
      </c>
    </row>
    <row r="1092" spans="1:12" x14ac:dyDescent="0.3">
      <c r="A1092">
        <v>92</v>
      </c>
      <c r="B1092" t="s">
        <v>220</v>
      </c>
      <c r="C1092" t="s">
        <v>221</v>
      </c>
      <c r="D1092" t="s">
        <v>32</v>
      </c>
      <c r="E1092" t="s">
        <v>65</v>
      </c>
      <c r="F1092" t="s">
        <v>66</v>
      </c>
      <c r="G1092" s="1">
        <v>45962</v>
      </c>
      <c r="H1092">
        <v>326</v>
      </c>
      <c r="I1092">
        <v>4</v>
      </c>
      <c r="J1092">
        <v>0.94</v>
      </c>
      <c r="K1092">
        <v>3923</v>
      </c>
      <c r="L1092" t="s">
        <v>18</v>
      </c>
    </row>
    <row r="1093" spans="1:12" x14ac:dyDescent="0.3">
      <c r="A1093">
        <v>92</v>
      </c>
      <c r="B1093" t="s">
        <v>220</v>
      </c>
      <c r="C1093" t="s">
        <v>221</v>
      </c>
      <c r="D1093" t="s">
        <v>32</v>
      </c>
      <c r="E1093" t="s">
        <v>65</v>
      </c>
      <c r="F1093" t="s">
        <v>66</v>
      </c>
      <c r="G1093" s="1">
        <v>45992</v>
      </c>
      <c r="H1093">
        <v>276</v>
      </c>
      <c r="I1093">
        <v>5</v>
      </c>
      <c r="J1093">
        <v>0.95</v>
      </c>
      <c r="K1093">
        <v>3398</v>
      </c>
      <c r="L1093" t="s">
        <v>18</v>
      </c>
    </row>
    <row r="1094" spans="1:12" x14ac:dyDescent="0.3">
      <c r="A1094">
        <v>93</v>
      </c>
      <c r="B1094" t="s">
        <v>222</v>
      </c>
      <c r="C1094" t="s">
        <v>223</v>
      </c>
      <c r="D1094" t="s">
        <v>42</v>
      </c>
      <c r="E1094" t="s">
        <v>69</v>
      </c>
      <c r="F1094" t="s">
        <v>66</v>
      </c>
      <c r="G1094" s="1">
        <v>45658</v>
      </c>
      <c r="H1094">
        <v>178</v>
      </c>
      <c r="I1094">
        <v>4</v>
      </c>
      <c r="J1094">
        <v>0.88</v>
      </c>
      <c r="K1094">
        <v>929.4</v>
      </c>
      <c r="L1094" t="s">
        <v>18</v>
      </c>
    </row>
    <row r="1095" spans="1:12" x14ac:dyDescent="0.3">
      <c r="A1095">
        <v>93</v>
      </c>
      <c r="B1095" t="s">
        <v>222</v>
      </c>
      <c r="C1095" t="s">
        <v>223</v>
      </c>
      <c r="D1095" t="s">
        <v>42</v>
      </c>
      <c r="E1095" t="s">
        <v>69</v>
      </c>
      <c r="F1095" t="s">
        <v>66</v>
      </c>
      <c r="G1095" s="1">
        <v>45689</v>
      </c>
      <c r="H1095">
        <v>215</v>
      </c>
      <c r="I1095">
        <v>2</v>
      </c>
      <c r="J1095">
        <v>0.93</v>
      </c>
      <c r="K1095">
        <v>1107</v>
      </c>
      <c r="L1095" t="s">
        <v>18</v>
      </c>
    </row>
    <row r="1096" spans="1:12" x14ac:dyDescent="0.3">
      <c r="A1096">
        <v>93</v>
      </c>
      <c r="B1096" t="s">
        <v>222</v>
      </c>
      <c r="C1096" t="s">
        <v>223</v>
      </c>
      <c r="D1096" t="s">
        <v>42</v>
      </c>
      <c r="E1096" t="s">
        <v>69</v>
      </c>
      <c r="F1096" t="s">
        <v>66</v>
      </c>
      <c r="G1096" s="1">
        <v>45717</v>
      </c>
      <c r="H1096">
        <v>353</v>
      </c>
      <c r="I1096">
        <v>7</v>
      </c>
      <c r="J1096">
        <v>0.85</v>
      </c>
      <c r="K1096">
        <v>1769.4</v>
      </c>
      <c r="L1096" t="s">
        <v>18</v>
      </c>
    </row>
    <row r="1097" spans="1:12" x14ac:dyDescent="0.3">
      <c r="A1097">
        <v>93</v>
      </c>
      <c r="B1097" t="s">
        <v>222</v>
      </c>
      <c r="C1097" t="s">
        <v>223</v>
      </c>
      <c r="D1097" t="s">
        <v>42</v>
      </c>
      <c r="E1097" t="s">
        <v>69</v>
      </c>
      <c r="F1097" t="s">
        <v>66</v>
      </c>
      <c r="G1097" s="1">
        <v>45748</v>
      </c>
      <c r="H1097">
        <v>181</v>
      </c>
      <c r="I1097">
        <v>10</v>
      </c>
      <c r="J1097">
        <v>0.95</v>
      </c>
      <c r="K1097">
        <v>943.8</v>
      </c>
      <c r="L1097" t="s">
        <v>18</v>
      </c>
    </row>
    <row r="1098" spans="1:12" x14ac:dyDescent="0.3">
      <c r="A1098">
        <v>93</v>
      </c>
      <c r="B1098" t="s">
        <v>222</v>
      </c>
      <c r="C1098" t="s">
        <v>223</v>
      </c>
      <c r="D1098" t="s">
        <v>42</v>
      </c>
      <c r="E1098" t="s">
        <v>69</v>
      </c>
      <c r="F1098" t="s">
        <v>66</v>
      </c>
      <c r="G1098" s="1">
        <v>45778</v>
      </c>
      <c r="H1098">
        <v>319</v>
      </c>
      <c r="I1098">
        <v>4</v>
      </c>
      <c r="J1098">
        <v>0.9</v>
      </c>
      <c r="K1098">
        <v>1606.2</v>
      </c>
      <c r="L1098" t="s">
        <v>17</v>
      </c>
    </row>
    <row r="1099" spans="1:12" x14ac:dyDescent="0.3">
      <c r="A1099">
        <v>93</v>
      </c>
      <c r="B1099" t="s">
        <v>222</v>
      </c>
      <c r="C1099" t="s">
        <v>223</v>
      </c>
      <c r="D1099" t="s">
        <v>42</v>
      </c>
      <c r="E1099" t="s">
        <v>69</v>
      </c>
      <c r="F1099" t="s">
        <v>66</v>
      </c>
      <c r="G1099" s="1">
        <v>45809</v>
      </c>
      <c r="H1099">
        <v>308</v>
      </c>
      <c r="I1099">
        <v>2</v>
      </c>
      <c r="J1099">
        <v>0.93</v>
      </c>
      <c r="K1099">
        <v>1553.4</v>
      </c>
      <c r="L1099" t="s">
        <v>18</v>
      </c>
    </row>
    <row r="1100" spans="1:12" x14ac:dyDescent="0.3">
      <c r="A1100">
        <v>93</v>
      </c>
      <c r="B1100" t="s">
        <v>222</v>
      </c>
      <c r="C1100" t="s">
        <v>223</v>
      </c>
      <c r="D1100" t="s">
        <v>42</v>
      </c>
      <c r="E1100" t="s">
        <v>69</v>
      </c>
      <c r="F1100" t="s">
        <v>66</v>
      </c>
      <c r="G1100" s="1">
        <v>45839</v>
      </c>
      <c r="H1100">
        <v>226</v>
      </c>
      <c r="I1100">
        <v>10</v>
      </c>
      <c r="J1100">
        <v>0.91</v>
      </c>
      <c r="K1100">
        <v>1159.8</v>
      </c>
      <c r="L1100" t="s">
        <v>18</v>
      </c>
    </row>
    <row r="1101" spans="1:12" x14ac:dyDescent="0.3">
      <c r="A1101">
        <v>93</v>
      </c>
      <c r="B1101" t="s">
        <v>222</v>
      </c>
      <c r="C1101" t="s">
        <v>223</v>
      </c>
      <c r="D1101" t="s">
        <v>42</v>
      </c>
      <c r="E1101" t="s">
        <v>69</v>
      </c>
      <c r="F1101" t="s">
        <v>66</v>
      </c>
      <c r="G1101" s="1">
        <v>45870</v>
      </c>
      <c r="H1101">
        <v>214</v>
      </c>
      <c r="I1101">
        <v>4</v>
      </c>
      <c r="J1101">
        <v>0.91</v>
      </c>
      <c r="K1101">
        <v>1102.2</v>
      </c>
      <c r="L1101" t="s">
        <v>17</v>
      </c>
    </row>
    <row r="1102" spans="1:12" x14ac:dyDescent="0.3">
      <c r="A1102">
        <v>93</v>
      </c>
      <c r="B1102" t="s">
        <v>222</v>
      </c>
      <c r="C1102" t="s">
        <v>223</v>
      </c>
      <c r="D1102" t="s">
        <v>42</v>
      </c>
      <c r="E1102" t="s">
        <v>69</v>
      </c>
      <c r="F1102" t="s">
        <v>66</v>
      </c>
      <c r="G1102" s="1">
        <v>45901</v>
      </c>
      <c r="H1102">
        <v>308</v>
      </c>
      <c r="I1102">
        <v>4</v>
      </c>
      <c r="J1102">
        <v>0.99</v>
      </c>
      <c r="K1102">
        <v>1553.4</v>
      </c>
      <c r="L1102" t="s">
        <v>18</v>
      </c>
    </row>
    <row r="1103" spans="1:12" x14ac:dyDescent="0.3">
      <c r="A1103">
        <v>93</v>
      </c>
      <c r="B1103" t="s">
        <v>222</v>
      </c>
      <c r="C1103" t="s">
        <v>223</v>
      </c>
      <c r="D1103" t="s">
        <v>42</v>
      </c>
      <c r="E1103" t="s">
        <v>69</v>
      </c>
      <c r="F1103" t="s">
        <v>66</v>
      </c>
      <c r="G1103" s="1">
        <v>45931</v>
      </c>
      <c r="H1103">
        <v>369</v>
      </c>
      <c r="I1103">
        <v>8</v>
      </c>
      <c r="J1103">
        <v>0.92</v>
      </c>
      <c r="K1103">
        <v>1846.2</v>
      </c>
      <c r="L1103" t="s">
        <v>18</v>
      </c>
    </row>
    <row r="1104" spans="1:12" x14ac:dyDescent="0.3">
      <c r="A1104">
        <v>93</v>
      </c>
      <c r="B1104" t="s">
        <v>222</v>
      </c>
      <c r="C1104" t="s">
        <v>223</v>
      </c>
      <c r="D1104" t="s">
        <v>42</v>
      </c>
      <c r="E1104" t="s">
        <v>69</v>
      </c>
      <c r="F1104" t="s">
        <v>66</v>
      </c>
      <c r="G1104" s="1">
        <v>45962</v>
      </c>
      <c r="H1104">
        <v>347</v>
      </c>
      <c r="I1104">
        <v>6</v>
      </c>
      <c r="J1104">
        <v>0.91</v>
      </c>
      <c r="K1104">
        <v>1740.6</v>
      </c>
      <c r="L1104" t="s">
        <v>17</v>
      </c>
    </row>
    <row r="1105" spans="1:12" x14ac:dyDescent="0.3">
      <c r="A1105">
        <v>93</v>
      </c>
      <c r="B1105" t="s">
        <v>222</v>
      </c>
      <c r="C1105" t="s">
        <v>223</v>
      </c>
      <c r="D1105" t="s">
        <v>42</v>
      </c>
      <c r="E1105" t="s">
        <v>69</v>
      </c>
      <c r="F1105" t="s">
        <v>66</v>
      </c>
      <c r="G1105" s="1">
        <v>45992</v>
      </c>
      <c r="H1105">
        <v>295</v>
      </c>
      <c r="I1105">
        <v>3</v>
      </c>
      <c r="J1105">
        <v>0.86</v>
      </c>
      <c r="K1105">
        <v>1491</v>
      </c>
      <c r="L1105" t="s">
        <v>18</v>
      </c>
    </row>
    <row r="1106" spans="1:12" x14ac:dyDescent="0.3">
      <c r="A1106">
        <v>94</v>
      </c>
      <c r="B1106" t="s">
        <v>224</v>
      </c>
      <c r="C1106" t="s">
        <v>225</v>
      </c>
      <c r="D1106" t="s">
        <v>14</v>
      </c>
      <c r="E1106" t="s">
        <v>72</v>
      </c>
      <c r="F1106" t="s">
        <v>73</v>
      </c>
      <c r="G1106" s="1">
        <v>45658</v>
      </c>
      <c r="H1106">
        <v>183</v>
      </c>
      <c r="I1106">
        <v>2</v>
      </c>
      <c r="J1106">
        <v>0.92</v>
      </c>
      <c r="K1106">
        <v>1289.5</v>
      </c>
      <c r="L1106" t="s">
        <v>18</v>
      </c>
    </row>
    <row r="1107" spans="1:12" x14ac:dyDescent="0.3">
      <c r="A1107">
        <v>94</v>
      </c>
      <c r="B1107" t="s">
        <v>224</v>
      </c>
      <c r="C1107" t="s">
        <v>225</v>
      </c>
      <c r="D1107" t="s">
        <v>14</v>
      </c>
      <c r="E1107" t="s">
        <v>72</v>
      </c>
      <c r="F1107" t="s">
        <v>73</v>
      </c>
      <c r="G1107" s="1">
        <v>45689</v>
      </c>
      <c r="H1107">
        <v>285</v>
      </c>
      <c r="I1107">
        <v>5</v>
      </c>
      <c r="J1107">
        <v>0.95</v>
      </c>
      <c r="K1107">
        <v>1952.5</v>
      </c>
      <c r="L1107" t="s">
        <v>18</v>
      </c>
    </row>
    <row r="1108" spans="1:12" x14ac:dyDescent="0.3">
      <c r="A1108">
        <v>94</v>
      </c>
      <c r="B1108" t="s">
        <v>224</v>
      </c>
      <c r="C1108" t="s">
        <v>225</v>
      </c>
      <c r="D1108" t="s">
        <v>14</v>
      </c>
      <c r="E1108" t="s">
        <v>72</v>
      </c>
      <c r="F1108" t="s">
        <v>73</v>
      </c>
      <c r="G1108" s="1">
        <v>45717</v>
      </c>
      <c r="H1108">
        <v>205</v>
      </c>
      <c r="I1108">
        <v>5</v>
      </c>
      <c r="J1108">
        <v>0.92</v>
      </c>
      <c r="K1108">
        <v>1432.5</v>
      </c>
      <c r="L1108" t="s">
        <v>18</v>
      </c>
    </row>
    <row r="1109" spans="1:12" x14ac:dyDescent="0.3">
      <c r="A1109">
        <v>94</v>
      </c>
      <c r="B1109" t="s">
        <v>224</v>
      </c>
      <c r="C1109" t="s">
        <v>225</v>
      </c>
      <c r="D1109" t="s">
        <v>14</v>
      </c>
      <c r="E1109" t="s">
        <v>72</v>
      </c>
      <c r="F1109" t="s">
        <v>73</v>
      </c>
      <c r="G1109" s="1">
        <v>45748</v>
      </c>
      <c r="H1109">
        <v>370</v>
      </c>
      <c r="I1109">
        <v>2</v>
      </c>
      <c r="J1109">
        <v>0.92</v>
      </c>
      <c r="K1109">
        <v>2505</v>
      </c>
      <c r="L1109" t="s">
        <v>18</v>
      </c>
    </row>
    <row r="1110" spans="1:12" x14ac:dyDescent="0.3">
      <c r="A1110">
        <v>94</v>
      </c>
      <c r="B1110" t="s">
        <v>224</v>
      </c>
      <c r="C1110" t="s">
        <v>225</v>
      </c>
      <c r="D1110" t="s">
        <v>14</v>
      </c>
      <c r="E1110" t="s">
        <v>72</v>
      </c>
      <c r="F1110" t="s">
        <v>73</v>
      </c>
      <c r="G1110" s="1">
        <v>45778</v>
      </c>
      <c r="H1110">
        <v>152</v>
      </c>
      <c r="I1110">
        <v>4</v>
      </c>
      <c r="J1110">
        <v>0.9</v>
      </c>
      <c r="K1110">
        <v>1088</v>
      </c>
      <c r="L1110" t="s">
        <v>17</v>
      </c>
    </row>
    <row r="1111" spans="1:12" x14ac:dyDescent="0.3">
      <c r="A1111">
        <v>94</v>
      </c>
      <c r="B1111" t="s">
        <v>224</v>
      </c>
      <c r="C1111" t="s">
        <v>225</v>
      </c>
      <c r="D1111" t="s">
        <v>14</v>
      </c>
      <c r="E1111" t="s">
        <v>72</v>
      </c>
      <c r="F1111" t="s">
        <v>73</v>
      </c>
      <c r="G1111" s="1">
        <v>45809</v>
      </c>
      <c r="H1111">
        <v>260</v>
      </c>
      <c r="I1111">
        <v>2</v>
      </c>
      <c r="J1111">
        <v>0.99</v>
      </c>
      <c r="K1111">
        <v>1790</v>
      </c>
      <c r="L1111" t="s">
        <v>18</v>
      </c>
    </row>
    <row r="1112" spans="1:12" x14ac:dyDescent="0.3">
      <c r="A1112">
        <v>94</v>
      </c>
      <c r="B1112" t="s">
        <v>224</v>
      </c>
      <c r="C1112" t="s">
        <v>225</v>
      </c>
      <c r="D1112" t="s">
        <v>14</v>
      </c>
      <c r="E1112" t="s">
        <v>72</v>
      </c>
      <c r="F1112" t="s">
        <v>73</v>
      </c>
      <c r="G1112" s="1">
        <v>45839</v>
      </c>
      <c r="H1112">
        <v>341</v>
      </c>
      <c r="I1112">
        <v>3</v>
      </c>
      <c r="J1112">
        <v>0.85</v>
      </c>
      <c r="K1112">
        <v>2316.5</v>
      </c>
      <c r="L1112" t="s">
        <v>18</v>
      </c>
    </row>
    <row r="1113" spans="1:12" x14ac:dyDescent="0.3">
      <c r="A1113">
        <v>94</v>
      </c>
      <c r="B1113" t="s">
        <v>224</v>
      </c>
      <c r="C1113" t="s">
        <v>225</v>
      </c>
      <c r="D1113" t="s">
        <v>14</v>
      </c>
      <c r="E1113" t="s">
        <v>72</v>
      </c>
      <c r="F1113" t="s">
        <v>73</v>
      </c>
      <c r="G1113" s="1">
        <v>45870</v>
      </c>
      <c r="H1113">
        <v>341</v>
      </c>
      <c r="I1113">
        <v>4</v>
      </c>
      <c r="J1113">
        <v>0.89</v>
      </c>
      <c r="K1113">
        <v>2316.5</v>
      </c>
      <c r="L1113" t="s">
        <v>17</v>
      </c>
    </row>
    <row r="1114" spans="1:12" x14ac:dyDescent="0.3">
      <c r="A1114">
        <v>94</v>
      </c>
      <c r="B1114" t="s">
        <v>224</v>
      </c>
      <c r="C1114" t="s">
        <v>225</v>
      </c>
      <c r="D1114" t="s">
        <v>14</v>
      </c>
      <c r="E1114" t="s">
        <v>72</v>
      </c>
      <c r="F1114" t="s">
        <v>73</v>
      </c>
      <c r="G1114" s="1">
        <v>45901</v>
      </c>
      <c r="H1114">
        <v>173</v>
      </c>
      <c r="I1114">
        <v>8</v>
      </c>
      <c r="J1114">
        <v>0.93</v>
      </c>
      <c r="K1114">
        <v>1224.5</v>
      </c>
      <c r="L1114" t="s">
        <v>18</v>
      </c>
    </row>
    <row r="1115" spans="1:12" x14ac:dyDescent="0.3">
      <c r="A1115">
        <v>94</v>
      </c>
      <c r="B1115" t="s">
        <v>224</v>
      </c>
      <c r="C1115" t="s">
        <v>225</v>
      </c>
      <c r="D1115" t="s">
        <v>14</v>
      </c>
      <c r="E1115" t="s">
        <v>72</v>
      </c>
      <c r="F1115" t="s">
        <v>73</v>
      </c>
      <c r="G1115" s="1">
        <v>45931</v>
      </c>
      <c r="H1115">
        <v>396</v>
      </c>
      <c r="I1115">
        <v>10</v>
      </c>
      <c r="J1115">
        <v>0.97</v>
      </c>
      <c r="K1115">
        <v>2674</v>
      </c>
      <c r="L1115" t="s">
        <v>17</v>
      </c>
    </row>
    <row r="1116" spans="1:12" x14ac:dyDescent="0.3">
      <c r="A1116">
        <v>94</v>
      </c>
      <c r="B1116" t="s">
        <v>224</v>
      </c>
      <c r="C1116" t="s">
        <v>225</v>
      </c>
      <c r="D1116" t="s">
        <v>14</v>
      </c>
      <c r="E1116" t="s">
        <v>72</v>
      </c>
      <c r="F1116" t="s">
        <v>73</v>
      </c>
      <c r="G1116" s="1">
        <v>45962</v>
      </c>
      <c r="H1116">
        <v>361</v>
      </c>
      <c r="I1116">
        <v>8</v>
      </c>
      <c r="J1116">
        <v>0.87</v>
      </c>
      <c r="K1116">
        <v>2446.5</v>
      </c>
      <c r="L1116" t="s">
        <v>18</v>
      </c>
    </row>
    <row r="1117" spans="1:12" x14ac:dyDescent="0.3">
      <c r="A1117">
        <v>94</v>
      </c>
      <c r="B1117" t="s">
        <v>224</v>
      </c>
      <c r="C1117" t="s">
        <v>225</v>
      </c>
      <c r="D1117" t="s">
        <v>14</v>
      </c>
      <c r="E1117" t="s">
        <v>72</v>
      </c>
      <c r="F1117" t="s">
        <v>73</v>
      </c>
      <c r="G1117" s="1">
        <v>45992</v>
      </c>
      <c r="H1117">
        <v>221</v>
      </c>
      <c r="I1117">
        <v>6</v>
      </c>
      <c r="J1117">
        <v>0.97</v>
      </c>
      <c r="K1117">
        <v>1536.5</v>
      </c>
      <c r="L1117" t="s">
        <v>18</v>
      </c>
    </row>
    <row r="1118" spans="1:12" x14ac:dyDescent="0.3">
      <c r="A1118">
        <v>95</v>
      </c>
      <c r="B1118" t="s">
        <v>226</v>
      </c>
      <c r="C1118" t="s">
        <v>227</v>
      </c>
      <c r="D1118" t="s">
        <v>24</v>
      </c>
      <c r="E1118" t="s">
        <v>76</v>
      </c>
      <c r="F1118" t="s">
        <v>77</v>
      </c>
      <c r="G1118" s="1">
        <v>45658</v>
      </c>
      <c r="H1118">
        <v>262</v>
      </c>
      <c r="I1118">
        <v>10</v>
      </c>
      <c r="J1118">
        <v>0.97</v>
      </c>
      <c r="K1118">
        <v>2398.4</v>
      </c>
      <c r="L1118" t="s">
        <v>18</v>
      </c>
    </row>
    <row r="1119" spans="1:12" x14ac:dyDescent="0.3">
      <c r="A1119">
        <v>95</v>
      </c>
      <c r="B1119" t="s">
        <v>226</v>
      </c>
      <c r="C1119" t="s">
        <v>227</v>
      </c>
      <c r="D1119" t="s">
        <v>24</v>
      </c>
      <c r="E1119" t="s">
        <v>76</v>
      </c>
      <c r="F1119" t="s">
        <v>77</v>
      </c>
      <c r="G1119" s="1">
        <v>45689</v>
      </c>
      <c r="H1119">
        <v>160</v>
      </c>
      <c r="I1119">
        <v>3</v>
      </c>
      <c r="J1119">
        <v>0.98</v>
      </c>
      <c r="K1119">
        <v>1562</v>
      </c>
      <c r="L1119" t="s">
        <v>18</v>
      </c>
    </row>
    <row r="1120" spans="1:12" x14ac:dyDescent="0.3">
      <c r="A1120">
        <v>95</v>
      </c>
      <c r="B1120" t="s">
        <v>226</v>
      </c>
      <c r="C1120" t="s">
        <v>227</v>
      </c>
      <c r="D1120" t="s">
        <v>24</v>
      </c>
      <c r="E1120" t="s">
        <v>76</v>
      </c>
      <c r="F1120" t="s">
        <v>77</v>
      </c>
      <c r="G1120" s="1">
        <v>45717</v>
      </c>
      <c r="H1120">
        <v>279</v>
      </c>
      <c r="I1120">
        <v>8</v>
      </c>
      <c r="J1120">
        <v>0.95</v>
      </c>
      <c r="K1120">
        <v>2537.8000000000002</v>
      </c>
      <c r="L1120" t="s">
        <v>18</v>
      </c>
    </row>
    <row r="1121" spans="1:12" x14ac:dyDescent="0.3">
      <c r="A1121">
        <v>95</v>
      </c>
      <c r="B1121" t="s">
        <v>226</v>
      </c>
      <c r="C1121" t="s">
        <v>227</v>
      </c>
      <c r="D1121" t="s">
        <v>24</v>
      </c>
      <c r="E1121" t="s">
        <v>76</v>
      </c>
      <c r="F1121" t="s">
        <v>77</v>
      </c>
      <c r="G1121" s="1">
        <v>45748</v>
      </c>
      <c r="H1121">
        <v>158</v>
      </c>
      <c r="I1121">
        <v>10</v>
      </c>
      <c r="J1121">
        <v>0.97</v>
      </c>
      <c r="K1121">
        <v>1545.6</v>
      </c>
      <c r="L1121" t="s">
        <v>18</v>
      </c>
    </row>
    <row r="1122" spans="1:12" x14ac:dyDescent="0.3">
      <c r="A1122">
        <v>95</v>
      </c>
      <c r="B1122" t="s">
        <v>226</v>
      </c>
      <c r="C1122" t="s">
        <v>227</v>
      </c>
      <c r="D1122" t="s">
        <v>24</v>
      </c>
      <c r="E1122" t="s">
        <v>76</v>
      </c>
      <c r="F1122" t="s">
        <v>77</v>
      </c>
      <c r="G1122" s="1">
        <v>45778</v>
      </c>
      <c r="H1122">
        <v>342</v>
      </c>
      <c r="I1122">
        <v>3</v>
      </c>
      <c r="J1122">
        <v>0.9</v>
      </c>
      <c r="K1122">
        <v>3054.4</v>
      </c>
      <c r="L1122" t="s">
        <v>18</v>
      </c>
    </row>
    <row r="1123" spans="1:12" x14ac:dyDescent="0.3">
      <c r="A1123">
        <v>95</v>
      </c>
      <c r="B1123" t="s">
        <v>226</v>
      </c>
      <c r="C1123" t="s">
        <v>227</v>
      </c>
      <c r="D1123" t="s">
        <v>24</v>
      </c>
      <c r="E1123" t="s">
        <v>76</v>
      </c>
      <c r="F1123" t="s">
        <v>77</v>
      </c>
      <c r="G1123" s="1">
        <v>45809</v>
      </c>
      <c r="H1123">
        <v>158</v>
      </c>
      <c r="I1123">
        <v>5</v>
      </c>
      <c r="J1123">
        <v>0.9</v>
      </c>
      <c r="K1123">
        <v>1545.6</v>
      </c>
      <c r="L1123" t="s">
        <v>18</v>
      </c>
    </row>
    <row r="1124" spans="1:12" x14ac:dyDescent="0.3">
      <c r="A1124">
        <v>95</v>
      </c>
      <c r="B1124" t="s">
        <v>226</v>
      </c>
      <c r="C1124" t="s">
        <v>227</v>
      </c>
      <c r="D1124" t="s">
        <v>24</v>
      </c>
      <c r="E1124" t="s">
        <v>76</v>
      </c>
      <c r="F1124" t="s">
        <v>77</v>
      </c>
      <c r="G1124" s="1">
        <v>45839</v>
      </c>
      <c r="H1124">
        <v>271</v>
      </c>
      <c r="I1124">
        <v>6</v>
      </c>
      <c r="J1124">
        <v>0.98</v>
      </c>
      <c r="K1124">
        <v>2472.1999999999998</v>
      </c>
      <c r="L1124" t="s">
        <v>18</v>
      </c>
    </row>
    <row r="1125" spans="1:12" x14ac:dyDescent="0.3">
      <c r="A1125">
        <v>95</v>
      </c>
      <c r="B1125" t="s">
        <v>226</v>
      </c>
      <c r="C1125" t="s">
        <v>227</v>
      </c>
      <c r="D1125" t="s">
        <v>24</v>
      </c>
      <c r="E1125" t="s">
        <v>76</v>
      </c>
      <c r="F1125" t="s">
        <v>77</v>
      </c>
      <c r="G1125" s="1">
        <v>45870</v>
      </c>
      <c r="H1125">
        <v>271</v>
      </c>
      <c r="I1125">
        <v>4</v>
      </c>
      <c r="J1125">
        <v>0.89</v>
      </c>
      <c r="K1125">
        <v>2472.1999999999998</v>
      </c>
      <c r="L1125" t="s">
        <v>18</v>
      </c>
    </row>
    <row r="1126" spans="1:12" x14ac:dyDescent="0.3">
      <c r="A1126">
        <v>95</v>
      </c>
      <c r="B1126" t="s">
        <v>226</v>
      </c>
      <c r="C1126" t="s">
        <v>227</v>
      </c>
      <c r="D1126" t="s">
        <v>24</v>
      </c>
      <c r="E1126" t="s">
        <v>76</v>
      </c>
      <c r="F1126" t="s">
        <v>77</v>
      </c>
      <c r="G1126" s="1">
        <v>45901</v>
      </c>
      <c r="H1126">
        <v>209</v>
      </c>
      <c r="I1126">
        <v>8</v>
      </c>
      <c r="J1126">
        <v>0.88</v>
      </c>
      <c r="K1126">
        <v>1963.8</v>
      </c>
      <c r="L1126" t="s">
        <v>18</v>
      </c>
    </row>
    <row r="1127" spans="1:12" x14ac:dyDescent="0.3">
      <c r="A1127">
        <v>95</v>
      </c>
      <c r="B1127" t="s">
        <v>226</v>
      </c>
      <c r="C1127" t="s">
        <v>227</v>
      </c>
      <c r="D1127" t="s">
        <v>24</v>
      </c>
      <c r="E1127" t="s">
        <v>76</v>
      </c>
      <c r="F1127" t="s">
        <v>77</v>
      </c>
      <c r="G1127" s="1">
        <v>45931</v>
      </c>
      <c r="H1127">
        <v>334</v>
      </c>
      <c r="I1127">
        <v>4</v>
      </c>
      <c r="J1127">
        <v>0.85</v>
      </c>
      <c r="K1127">
        <v>2988.8</v>
      </c>
      <c r="L1127" t="s">
        <v>17</v>
      </c>
    </row>
    <row r="1128" spans="1:12" x14ac:dyDescent="0.3">
      <c r="A1128">
        <v>95</v>
      </c>
      <c r="B1128" t="s">
        <v>226</v>
      </c>
      <c r="C1128" t="s">
        <v>227</v>
      </c>
      <c r="D1128" t="s">
        <v>24</v>
      </c>
      <c r="E1128" t="s">
        <v>76</v>
      </c>
      <c r="F1128" t="s">
        <v>77</v>
      </c>
      <c r="G1128" s="1">
        <v>45962</v>
      </c>
      <c r="H1128">
        <v>312</v>
      </c>
      <c r="I1128">
        <v>4</v>
      </c>
      <c r="J1128">
        <v>0.89</v>
      </c>
      <c r="K1128">
        <v>2808.4</v>
      </c>
      <c r="L1128" t="s">
        <v>18</v>
      </c>
    </row>
    <row r="1129" spans="1:12" x14ac:dyDescent="0.3">
      <c r="A1129">
        <v>95</v>
      </c>
      <c r="B1129" t="s">
        <v>226</v>
      </c>
      <c r="C1129" t="s">
        <v>227</v>
      </c>
      <c r="D1129" t="s">
        <v>24</v>
      </c>
      <c r="E1129" t="s">
        <v>76</v>
      </c>
      <c r="F1129" t="s">
        <v>77</v>
      </c>
      <c r="G1129" s="1">
        <v>45992</v>
      </c>
      <c r="H1129">
        <v>293</v>
      </c>
      <c r="I1129">
        <v>2</v>
      </c>
      <c r="J1129">
        <v>0.87</v>
      </c>
      <c r="K1129">
        <v>2652.6</v>
      </c>
      <c r="L1129" t="s">
        <v>17</v>
      </c>
    </row>
    <row r="1130" spans="1:12" x14ac:dyDescent="0.3">
      <c r="A1130">
        <v>96</v>
      </c>
      <c r="B1130" t="s">
        <v>228</v>
      </c>
      <c r="C1130" t="s">
        <v>229</v>
      </c>
      <c r="D1130" t="s">
        <v>32</v>
      </c>
      <c r="E1130" t="s">
        <v>15</v>
      </c>
      <c r="F1130" t="s">
        <v>16</v>
      </c>
      <c r="G1130" s="1">
        <v>45658</v>
      </c>
      <c r="H1130">
        <v>284</v>
      </c>
      <c r="I1130">
        <v>6</v>
      </c>
      <c r="J1130">
        <v>0.93</v>
      </c>
      <c r="K1130">
        <v>3482</v>
      </c>
      <c r="L1130" t="s">
        <v>18</v>
      </c>
    </row>
    <row r="1131" spans="1:12" x14ac:dyDescent="0.3">
      <c r="A1131">
        <v>96</v>
      </c>
      <c r="B1131" t="s">
        <v>228</v>
      </c>
      <c r="C1131" t="s">
        <v>229</v>
      </c>
      <c r="D1131" t="s">
        <v>32</v>
      </c>
      <c r="E1131" t="s">
        <v>15</v>
      </c>
      <c r="F1131" t="s">
        <v>16</v>
      </c>
      <c r="G1131" s="1">
        <v>45689</v>
      </c>
      <c r="H1131">
        <v>369</v>
      </c>
      <c r="I1131">
        <v>4</v>
      </c>
      <c r="J1131">
        <v>0.99</v>
      </c>
      <c r="K1131">
        <v>4374.5</v>
      </c>
      <c r="L1131" t="s">
        <v>18</v>
      </c>
    </row>
    <row r="1132" spans="1:12" x14ac:dyDescent="0.3">
      <c r="A1132">
        <v>96</v>
      </c>
      <c r="B1132" t="s">
        <v>228</v>
      </c>
      <c r="C1132" t="s">
        <v>229</v>
      </c>
      <c r="D1132" t="s">
        <v>32</v>
      </c>
      <c r="E1132" t="s">
        <v>15</v>
      </c>
      <c r="F1132" t="s">
        <v>16</v>
      </c>
      <c r="G1132" s="1">
        <v>45717</v>
      </c>
      <c r="H1132">
        <v>327</v>
      </c>
      <c r="I1132">
        <v>9</v>
      </c>
      <c r="J1132">
        <v>0.87</v>
      </c>
      <c r="K1132">
        <v>3933.5</v>
      </c>
      <c r="L1132" t="s">
        <v>18</v>
      </c>
    </row>
    <row r="1133" spans="1:12" x14ac:dyDescent="0.3">
      <c r="A1133">
        <v>96</v>
      </c>
      <c r="B1133" t="s">
        <v>228</v>
      </c>
      <c r="C1133" t="s">
        <v>229</v>
      </c>
      <c r="D1133" t="s">
        <v>32</v>
      </c>
      <c r="E1133" t="s">
        <v>15</v>
      </c>
      <c r="F1133" t="s">
        <v>16</v>
      </c>
      <c r="G1133" s="1">
        <v>45748</v>
      </c>
      <c r="H1133">
        <v>321</v>
      </c>
      <c r="I1133">
        <v>10</v>
      </c>
      <c r="J1133">
        <v>0.85</v>
      </c>
      <c r="K1133">
        <v>3870.5</v>
      </c>
      <c r="L1133" t="s">
        <v>18</v>
      </c>
    </row>
    <row r="1134" spans="1:12" x14ac:dyDescent="0.3">
      <c r="A1134">
        <v>96</v>
      </c>
      <c r="B1134" t="s">
        <v>228</v>
      </c>
      <c r="C1134" t="s">
        <v>229</v>
      </c>
      <c r="D1134" t="s">
        <v>32</v>
      </c>
      <c r="E1134" t="s">
        <v>15</v>
      </c>
      <c r="F1134" t="s">
        <v>16</v>
      </c>
      <c r="G1134" s="1">
        <v>45778</v>
      </c>
      <c r="H1134">
        <v>392</v>
      </c>
      <c r="I1134">
        <v>2</v>
      </c>
      <c r="J1134">
        <v>0.88</v>
      </c>
      <c r="K1134">
        <v>4616</v>
      </c>
      <c r="L1134" t="s">
        <v>17</v>
      </c>
    </row>
    <row r="1135" spans="1:12" x14ac:dyDescent="0.3">
      <c r="A1135">
        <v>96</v>
      </c>
      <c r="B1135" t="s">
        <v>228</v>
      </c>
      <c r="C1135" t="s">
        <v>229</v>
      </c>
      <c r="D1135" t="s">
        <v>32</v>
      </c>
      <c r="E1135" t="s">
        <v>15</v>
      </c>
      <c r="F1135" t="s">
        <v>16</v>
      </c>
      <c r="G1135" s="1">
        <v>45809</v>
      </c>
      <c r="H1135">
        <v>380</v>
      </c>
      <c r="I1135">
        <v>6</v>
      </c>
      <c r="J1135">
        <v>0.96</v>
      </c>
      <c r="K1135">
        <v>4490</v>
      </c>
      <c r="L1135" t="s">
        <v>18</v>
      </c>
    </row>
    <row r="1136" spans="1:12" x14ac:dyDescent="0.3">
      <c r="A1136">
        <v>96</v>
      </c>
      <c r="B1136" t="s">
        <v>228</v>
      </c>
      <c r="C1136" t="s">
        <v>229</v>
      </c>
      <c r="D1136" t="s">
        <v>32</v>
      </c>
      <c r="E1136" t="s">
        <v>15</v>
      </c>
      <c r="F1136" t="s">
        <v>16</v>
      </c>
      <c r="G1136" s="1">
        <v>45839</v>
      </c>
      <c r="H1136">
        <v>233</v>
      </c>
      <c r="I1136">
        <v>3</v>
      </c>
      <c r="J1136">
        <v>0.86</v>
      </c>
      <c r="K1136">
        <v>2946.5</v>
      </c>
      <c r="L1136" t="s">
        <v>18</v>
      </c>
    </row>
    <row r="1137" spans="1:12" x14ac:dyDescent="0.3">
      <c r="A1137">
        <v>96</v>
      </c>
      <c r="B1137" t="s">
        <v>228</v>
      </c>
      <c r="C1137" t="s">
        <v>229</v>
      </c>
      <c r="D1137" t="s">
        <v>32</v>
      </c>
      <c r="E1137" t="s">
        <v>15</v>
      </c>
      <c r="F1137" t="s">
        <v>16</v>
      </c>
      <c r="G1137" s="1">
        <v>45870</v>
      </c>
      <c r="H1137">
        <v>214</v>
      </c>
      <c r="I1137">
        <v>4</v>
      </c>
      <c r="J1137">
        <v>0.85</v>
      </c>
      <c r="K1137">
        <v>2747</v>
      </c>
      <c r="L1137" t="s">
        <v>18</v>
      </c>
    </row>
    <row r="1138" spans="1:12" x14ac:dyDescent="0.3">
      <c r="A1138">
        <v>96</v>
      </c>
      <c r="B1138" t="s">
        <v>228</v>
      </c>
      <c r="C1138" t="s">
        <v>229</v>
      </c>
      <c r="D1138" t="s">
        <v>32</v>
      </c>
      <c r="E1138" t="s">
        <v>15</v>
      </c>
      <c r="F1138" t="s">
        <v>16</v>
      </c>
      <c r="G1138" s="1">
        <v>45901</v>
      </c>
      <c r="H1138">
        <v>187</v>
      </c>
      <c r="I1138">
        <v>9</v>
      </c>
      <c r="J1138">
        <v>0.95</v>
      </c>
      <c r="K1138">
        <v>2463.5</v>
      </c>
      <c r="L1138" t="s">
        <v>18</v>
      </c>
    </row>
    <row r="1139" spans="1:12" x14ac:dyDescent="0.3">
      <c r="A1139">
        <v>96</v>
      </c>
      <c r="B1139" t="s">
        <v>228</v>
      </c>
      <c r="C1139" t="s">
        <v>229</v>
      </c>
      <c r="D1139" t="s">
        <v>32</v>
      </c>
      <c r="E1139" t="s">
        <v>15</v>
      </c>
      <c r="F1139" t="s">
        <v>16</v>
      </c>
      <c r="G1139" s="1">
        <v>45931</v>
      </c>
      <c r="H1139">
        <v>330</v>
      </c>
      <c r="I1139">
        <v>4</v>
      </c>
      <c r="J1139">
        <v>0.87</v>
      </c>
      <c r="K1139">
        <v>3965</v>
      </c>
      <c r="L1139" t="s">
        <v>18</v>
      </c>
    </row>
    <row r="1140" spans="1:12" x14ac:dyDescent="0.3">
      <c r="A1140">
        <v>96</v>
      </c>
      <c r="B1140" t="s">
        <v>228</v>
      </c>
      <c r="C1140" t="s">
        <v>229</v>
      </c>
      <c r="D1140" t="s">
        <v>32</v>
      </c>
      <c r="E1140" t="s">
        <v>15</v>
      </c>
      <c r="F1140" t="s">
        <v>16</v>
      </c>
      <c r="G1140" s="1">
        <v>45962</v>
      </c>
      <c r="H1140">
        <v>383</v>
      </c>
      <c r="I1140">
        <v>5</v>
      </c>
      <c r="J1140">
        <v>0.86</v>
      </c>
      <c r="K1140">
        <v>4521.5</v>
      </c>
      <c r="L1140" t="s">
        <v>18</v>
      </c>
    </row>
    <row r="1141" spans="1:12" x14ac:dyDescent="0.3">
      <c r="A1141">
        <v>96</v>
      </c>
      <c r="B1141" t="s">
        <v>228</v>
      </c>
      <c r="C1141" t="s">
        <v>229</v>
      </c>
      <c r="D1141" t="s">
        <v>32</v>
      </c>
      <c r="E1141" t="s">
        <v>15</v>
      </c>
      <c r="F1141" t="s">
        <v>16</v>
      </c>
      <c r="G1141" s="1">
        <v>45992</v>
      </c>
      <c r="H1141">
        <v>378</v>
      </c>
      <c r="I1141">
        <v>2</v>
      </c>
      <c r="J1141">
        <v>0.86</v>
      </c>
      <c r="K1141">
        <v>4469</v>
      </c>
      <c r="L1141" t="s">
        <v>18</v>
      </c>
    </row>
    <row r="1142" spans="1:12" x14ac:dyDescent="0.3">
      <c r="A1142">
        <v>97</v>
      </c>
      <c r="B1142" t="s">
        <v>230</v>
      </c>
      <c r="C1142" t="s">
        <v>231</v>
      </c>
      <c r="D1142" t="s">
        <v>42</v>
      </c>
      <c r="E1142" t="s">
        <v>21</v>
      </c>
      <c r="F1142" t="s">
        <v>16</v>
      </c>
      <c r="G1142" s="1">
        <v>45658</v>
      </c>
      <c r="H1142">
        <v>360</v>
      </c>
      <c r="I1142">
        <v>10</v>
      </c>
      <c r="J1142">
        <v>0.93</v>
      </c>
      <c r="K1142">
        <v>1803</v>
      </c>
      <c r="L1142" t="s">
        <v>18</v>
      </c>
    </row>
    <row r="1143" spans="1:12" x14ac:dyDescent="0.3">
      <c r="A1143">
        <v>97</v>
      </c>
      <c r="B1143" t="s">
        <v>230</v>
      </c>
      <c r="C1143" t="s">
        <v>231</v>
      </c>
      <c r="D1143" t="s">
        <v>42</v>
      </c>
      <c r="E1143" t="s">
        <v>21</v>
      </c>
      <c r="F1143" t="s">
        <v>16</v>
      </c>
      <c r="G1143" s="1">
        <v>45689</v>
      </c>
      <c r="H1143">
        <v>343</v>
      </c>
      <c r="I1143">
        <v>3</v>
      </c>
      <c r="J1143">
        <v>0.9</v>
      </c>
      <c r="K1143">
        <v>1721.4</v>
      </c>
      <c r="L1143" t="s">
        <v>17</v>
      </c>
    </row>
    <row r="1144" spans="1:12" x14ac:dyDescent="0.3">
      <c r="A1144">
        <v>97</v>
      </c>
      <c r="B1144" t="s">
        <v>230</v>
      </c>
      <c r="C1144" t="s">
        <v>231</v>
      </c>
      <c r="D1144" t="s">
        <v>42</v>
      </c>
      <c r="E1144" t="s">
        <v>21</v>
      </c>
      <c r="F1144" t="s">
        <v>16</v>
      </c>
      <c r="G1144" s="1">
        <v>45717</v>
      </c>
      <c r="H1144">
        <v>171</v>
      </c>
      <c r="I1144">
        <v>6</v>
      </c>
      <c r="J1144">
        <v>0.94</v>
      </c>
      <c r="K1144">
        <v>895.8</v>
      </c>
      <c r="L1144" t="s">
        <v>18</v>
      </c>
    </row>
    <row r="1145" spans="1:12" x14ac:dyDescent="0.3">
      <c r="A1145">
        <v>97</v>
      </c>
      <c r="B1145" t="s">
        <v>230</v>
      </c>
      <c r="C1145" t="s">
        <v>231</v>
      </c>
      <c r="D1145" t="s">
        <v>42</v>
      </c>
      <c r="E1145" t="s">
        <v>21</v>
      </c>
      <c r="F1145" t="s">
        <v>16</v>
      </c>
      <c r="G1145" s="1">
        <v>45748</v>
      </c>
      <c r="H1145">
        <v>294</v>
      </c>
      <c r="I1145">
        <v>4</v>
      </c>
      <c r="J1145">
        <v>0.96</v>
      </c>
      <c r="K1145">
        <v>1486.2</v>
      </c>
      <c r="L1145" t="s">
        <v>18</v>
      </c>
    </row>
    <row r="1146" spans="1:12" x14ac:dyDescent="0.3">
      <c r="A1146">
        <v>97</v>
      </c>
      <c r="B1146" t="s">
        <v>230</v>
      </c>
      <c r="C1146" t="s">
        <v>231</v>
      </c>
      <c r="D1146" t="s">
        <v>42</v>
      </c>
      <c r="E1146" t="s">
        <v>21</v>
      </c>
      <c r="F1146" t="s">
        <v>16</v>
      </c>
      <c r="G1146" s="1">
        <v>45778</v>
      </c>
      <c r="H1146">
        <v>316</v>
      </c>
      <c r="I1146">
        <v>8</v>
      </c>
      <c r="J1146">
        <v>0.93</v>
      </c>
      <c r="K1146">
        <v>1591.8</v>
      </c>
      <c r="L1146" t="s">
        <v>18</v>
      </c>
    </row>
    <row r="1147" spans="1:12" x14ac:dyDescent="0.3">
      <c r="A1147">
        <v>97</v>
      </c>
      <c r="B1147" t="s">
        <v>230</v>
      </c>
      <c r="C1147" t="s">
        <v>231</v>
      </c>
      <c r="D1147" t="s">
        <v>42</v>
      </c>
      <c r="E1147" t="s">
        <v>21</v>
      </c>
      <c r="F1147" t="s">
        <v>16</v>
      </c>
      <c r="G1147" s="1">
        <v>45809</v>
      </c>
      <c r="H1147">
        <v>227</v>
      </c>
      <c r="I1147">
        <v>3</v>
      </c>
      <c r="J1147">
        <v>0.9</v>
      </c>
      <c r="K1147">
        <v>1164.5999999999999</v>
      </c>
      <c r="L1147" t="s">
        <v>18</v>
      </c>
    </row>
    <row r="1148" spans="1:12" x14ac:dyDescent="0.3">
      <c r="A1148">
        <v>97</v>
      </c>
      <c r="B1148" t="s">
        <v>230</v>
      </c>
      <c r="C1148" t="s">
        <v>231</v>
      </c>
      <c r="D1148" t="s">
        <v>42</v>
      </c>
      <c r="E1148" t="s">
        <v>21</v>
      </c>
      <c r="F1148" t="s">
        <v>16</v>
      </c>
      <c r="G1148" s="1">
        <v>45839</v>
      </c>
      <c r="H1148">
        <v>385</v>
      </c>
      <c r="I1148">
        <v>2</v>
      </c>
      <c r="J1148">
        <v>0.93</v>
      </c>
      <c r="K1148">
        <v>1923</v>
      </c>
      <c r="L1148" t="s">
        <v>17</v>
      </c>
    </row>
    <row r="1149" spans="1:12" x14ac:dyDescent="0.3">
      <c r="A1149">
        <v>97</v>
      </c>
      <c r="B1149" t="s">
        <v>230</v>
      </c>
      <c r="C1149" t="s">
        <v>231</v>
      </c>
      <c r="D1149" t="s">
        <v>42</v>
      </c>
      <c r="E1149" t="s">
        <v>21</v>
      </c>
      <c r="F1149" t="s">
        <v>16</v>
      </c>
      <c r="G1149" s="1">
        <v>45870</v>
      </c>
      <c r="H1149">
        <v>236</v>
      </c>
      <c r="I1149">
        <v>10</v>
      </c>
      <c r="J1149">
        <v>0.9</v>
      </c>
      <c r="K1149">
        <v>1207.8</v>
      </c>
      <c r="L1149" t="s">
        <v>17</v>
      </c>
    </row>
    <row r="1150" spans="1:12" x14ac:dyDescent="0.3">
      <c r="A1150">
        <v>97</v>
      </c>
      <c r="B1150" t="s">
        <v>230</v>
      </c>
      <c r="C1150" t="s">
        <v>231</v>
      </c>
      <c r="D1150" t="s">
        <v>42</v>
      </c>
      <c r="E1150" t="s">
        <v>21</v>
      </c>
      <c r="F1150" t="s">
        <v>16</v>
      </c>
      <c r="G1150" s="1">
        <v>45901</v>
      </c>
      <c r="H1150">
        <v>355</v>
      </c>
      <c r="I1150">
        <v>4</v>
      </c>
      <c r="J1150">
        <v>0.97</v>
      </c>
      <c r="K1150">
        <v>1779</v>
      </c>
      <c r="L1150" t="s">
        <v>17</v>
      </c>
    </row>
    <row r="1151" spans="1:12" x14ac:dyDescent="0.3">
      <c r="A1151">
        <v>97</v>
      </c>
      <c r="B1151" t="s">
        <v>230</v>
      </c>
      <c r="C1151" t="s">
        <v>231</v>
      </c>
      <c r="D1151" t="s">
        <v>42</v>
      </c>
      <c r="E1151" t="s">
        <v>21</v>
      </c>
      <c r="F1151" t="s">
        <v>16</v>
      </c>
      <c r="G1151" s="1">
        <v>45931</v>
      </c>
      <c r="H1151">
        <v>229</v>
      </c>
      <c r="I1151">
        <v>8</v>
      </c>
      <c r="J1151">
        <v>0.99</v>
      </c>
      <c r="K1151">
        <v>1174.2</v>
      </c>
      <c r="L1151" t="s">
        <v>18</v>
      </c>
    </row>
    <row r="1152" spans="1:12" x14ac:dyDescent="0.3">
      <c r="A1152">
        <v>97</v>
      </c>
      <c r="B1152" t="s">
        <v>230</v>
      </c>
      <c r="C1152" t="s">
        <v>231</v>
      </c>
      <c r="D1152" t="s">
        <v>42</v>
      </c>
      <c r="E1152" t="s">
        <v>21</v>
      </c>
      <c r="F1152" t="s">
        <v>16</v>
      </c>
      <c r="G1152" s="1">
        <v>45962</v>
      </c>
      <c r="H1152">
        <v>235</v>
      </c>
      <c r="I1152">
        <v>10</v>
      </c>
      <c r="J1152">
        <v>0.99</v>
      </c>
      <c r="K1152">
        <v>1203</v>
      </c>
      <c r="L1152" t="s">
        <v>18</v>
      </c>
    </row>
    <row r="1153" spans="1:12" x14ac:dyDescent="0.3">
      <c r="A1153">
        <v>97</v>
      </c>
      <c r="B1153" t="s">
        <v>230</v>
      </c>
      <c r="C1153" t="s">
        <v>231</v>
      </c>
      <c r="D1153" t="s">
        <v>42</v>
      </c>
      <c r="E1153" t="s">
        <v>21</v>
      </c>
      <c r="F1153" t="s">
        <v>16</v>
      </c>
      <c r="G1153" s="1">
        <v>45992</v>
      </c>
      <c r="H1153">
        <v>281</v>
      </c>
      <c r="I1153">
        <v>4</v>
      </c>
      <c r="J1153">
        <v>0.95</v>
      </c>
      <c r="K1153">
        <v>1423.8</v>
      </c>
      <c r="L1153" t="s">
        <v>18</v>
      </c>
    </row>
    <row r="1154" spans="1:12" x14ac:dyDescent="0.3">
      <c r="A1154">
        <v>98</v>
      </c>
      <c r="B1154" t="s">
        <v>232</v>
      </c>
      <c r="C1154" t="s">
        <v>233</v>
      </c>
      <c r="D1154" t="s">
        <v>14</v>
      </c>
      <c r="E1154" t="s">
        <v>39</v>
      </c>
      <c r="F1154" t="s">
        <v>16</v>
      </c>
      <c r="G1154" s="1">
        <v>45658</v>
      </c>
      <c r="H1154">
        <v>262</v>
      </c>
      <c r="I1154">
        <v>8</v>
      </c>
      <c r="J1154">
        <v>0.97</v>
      </c>
      <c r="K1154">
        <v>1803</v>
      </c>
      <c r="L1154" t="s">
        <v>17</v>
      </c>
    </row>
    <row r="1155" spans="1:12" x14ac:dyDescent="0.3">
      <c r="A1155">
        <v>98</v>
      </c>
      <c r="B1155" t="s">
        <v>232</v>
      </c>
      <c r="C1155" t="s">
        <v>233</v>
      </c>
      <c r="D1155" t="s">
        <v>14</v>
      </c>
      <c r="E1155" t="s">
        <v>39</v>
      </c>
      <c r="F1155" t="s">
        <v>16</v>
      </c>
      <c r="G1155" s="1">
        <v>45689</v>
      </c>
      <c r="H1155">
        <v>313</v>
      </c>
      <c r="I1155">
        <v>5</v>
      </c>
      <c r="J1155">
        <v>0.9</v>
      </c>
      <c r="K1155">
        <v>2134.5</v>
      </c>
      <c r="L1155" t="s">
        <v>17</v>
      </c>
    </row>
    <row r="1156" spans="1:12" x14ac:dyDescent="0.3">
      <c r="A1156">
        <v>98</v>
      </c>
      <c r="B1156" t="s">
        <v>232</v>
      </c>
      <c r="C1156" t="s">
        <v>233</v>
      </c>
      <c r="D1156" t="s">
        <v>14</v>
      </c>
      <c r="E1156" t="s">
        <v>39</v>
      </c>
      <c r="F1156" t="s">
        <v>16</v>
      </c>
      <c r="G1156" s="1">
        <v>45717</v>
      </c>
      <c r="H1156">
        <v>321</v>
      </c>
      <c r="I1156">
        <v>4</v>
      </c>
      <c r="J1156">
        <v>0.99</v>
      </c>
      <c r="K1156">
        <v>2186.5</v>
      </c>
      <c r="L1156" t="s">
        <v>17</v>
      </c>
    </row>
    <row r="1157" spans="1:12" x14ac:dyDescent="0.3">
      <c r="A1157">
        <v>98</v>
      </c>
      <c r="B1157" t="s">
        <v>232</v>
      </c>
      <c r="C1157" t="s">
        <v>233</v>
      </c>
      <c r="D1157" t="s">
        <v>14</v>
      </c>
      <c r="E1157" t="s">
        <v>39</v>
      </c>
      <c r="F1157" t="s">
        <v>16</v>
      </c>
      <c r="G1157" s="1">
        <v>45748</v>
      </c>
      <c r="H1157">
        <v>387</v>
      </c>
      <c r="I1157">
        <v>5</v>
      </c>
      <c r="J1157">
        <v>0.88</v>
      </c>
      <c r="K1157">
        <v>2615.5</v>
      </c>
      <c r="L1157" t="s">
        <v>18</v>
      </c>
    </row>
    <row r="1158" spans="1:12" x14ac:dyDescent="0.3">
      <c r="A1158">
        <v>98</v>
      </c>
      <c r="B1158" t="s">
        <v>232</v>
      </c>
      <c r="C1158" t="s">
        <v>233</v>
      </c>
      <c r="D1158" t="s">
        <v>14</v>
      </c>
      <c r="E1158" t="s">
        <v>39</v>
      </c>
      <c r="F1158" t="s">
        <v>16</v>
      </c>
      <c r="G1158" s="1">
        <v>45778</v>
      </c>
      <c r="H1158">
        <v>315</v>
      </c>
      <c r="I1158">
        <v>5</v>
      </c>
      <c r="J1158">
        <v>0.9</v>
      </c>
      <c r="K1158">
        <v>2147.5</v>
      </c>
      <c r="L1158" t="s">
        <v>18</v>
      </c>
    </row>
    <row r="1159" spans="1:12" x14ac:dyDescent="0.3">
      <c r="A1159">
        <v>98</v>
      </c>
      <c r="B1159" t="s">
        <v>232</v>
      </c>
      <c r="C1159" t="s">
        <v>233</v>
      </c>
      <c r="D1159" t="s">
        <v>14</v>
      </c>
      <c r="E1159" t="s">
        <v>39</v>
      </c>
      <c r="F1159" t="s">
        <v>16</v>
      </c>
      <c r="G1159" s="1">
        <v>45809</v>
      </c>
      <c r="H1159">
        <v>352</v>
      </c>
      <c r="I1159">
        <v>8</v>
      </c>
      <c r="J1159">
        <v>0.94</v>
      </c>
      <c r="K1159">
        <v>2388</v>
      </c>
      <c r="L1159" t="s">
        <v>18</v>
      </c>
    </row>
    <row r="1160" spans="1:12" x14ac:dyDescent="0.3">
      <c r="A1160">
        <v>98</v>
      </c>
      <c r="B1160" t="s">
        <v>232</v>
      </c>
      <c r="C1160" t="s">
        <v>233</v>
      </c>
      <c r="D1160" t="s">
        <v>14</v>
      </c>
      <c r="E1160" t="s">
        <v>39</v>
      </c>
      <c r="F1160" t="s">
        <v>16</v>
      </c>
      <c r="G1160" s="1">
        <v>45839</v>
      </c>
      <c r="H1160">
        <v>330</v>
      </c>
      <c r="I1160">
        <v>7</v>
      </c>
      <c r="J1160">
        <v>0.88</v>
      </c>
      <c r="K1160">
        <v>2245</v>
      </c>
      <c r="L1160" t="s">
        <v>18</v>
      </c>
    </row>
    <row r="1161" spans="1:12" x14ac:dyDescent="0.3">
      <c r="A1161">
        <v>98</v>
      </c>
      <c r="B1161" t="s">
        <v>232</v>
      </c>
      <c r="C1161" t="s">
        <v>233</v>
      </c>
      <c r="D1161" t="s">
        <v>14</v>
      </c>
      <c r="E1161" t="s">
        <v>39</v>
      </c>
      <c r="F1161" t="s">
        <v>16</v>
      </c>
      <c r="G1161" s="1">
        <v>45870</v>
      </c>
      <c r="H1161">
        <v>209</v>
      </c>
      <c r="I1161">
        <v>2</v>
      </c>
      <c r="J1161">
        <v>0.88</v>
      </c>
      <c r="K1161">
        <v>1458.5</v>
      </c>
      <c r="L1161" t="s">
        <v>18</v>
      </c>
    </row>
    <row r="1162" spans="1:12" x14ac:dyDescent="0.3">
      <c r="A1162">
        <v>98</v>
      </c>
      <c r="B1162" t="s">
        <v>232</v>
      </c>
      <c r="C1162" t="s">
        <v>233</v>
      </c>
      <c r="D1162" t="s">
        <v>14</v>
      </c>
      <c r="E1162" t="s">
        <v>39</v>
      </c>
      <c r="F1162" t="s">
        <v>16</v>
      </c>
      <c r="G1162" s="1">
        <v>45901</v>
      </c>
      <c r="H1162">
        <v>352</v>
      </c>
      <c r="I1162">
        <v>6</v>
      </c>
      <c r="J1162">
        <v>0.92</v>
      </c>
      <c r="K1162">
        <v>2388</v>
      </c>
      <c r="L1162" t="s">
        <v>17</v>
      </c>
    </row>
    <row r="1163" spans="1:12" x14ac:dyDescent="0.3">
      <c r="A1163">
        <v>98</v>
      </c>
      <c r="B1163" t="s">
        <v>232</v>
      </c>
      <c r="C1163" t="s">
        <v>233</v>
      </c>
      <c r="D1163" t="s">
        <v>14</v>
      </c>
      <c r="E1163" t="s">
        <v>39</v>
      </c>
      <c r="F1163" t="s">
        <v>16</v>
      </c>
      <c r="G1163" s="1">
        <v>45931</v>
      </c>
      <c r="H1163">
        <v>327</v>
      </c>
      <c r="I1163">
        <v>3</v>
      </c>
      <c r="J1163">
        <v>0.93</v>
      </c>
      <c r="K1163">
        <v>2225.5</v>
      </c>
      <c r="L1163" t="s">
        <v>18</v>
      </c>
    </row>
    <row r="1164" spans="1:12" x14ac:dyDescent="0.3">
      <c r="A1164">
        <v>98</v>
      </c>
      <c r="B1164" t="s">
        <v>232</v>
      </c>
      <c r="C1164" t="s">
        <v>233</v>
      </c>
      <c r="D1164" t="s">
        <v>14</v>
      </c>
      <c r="E1164" t="s">
        <v>39</v>
      </c>
      <c r="F1164" t="s">
        <v>16</v>
      </c>
      <c r="G1164" s="1">
        <v>45962</v>
      </c>
      <c r="H1164">
        <v>194</v>
      </c>
      <c r="I1164">
        <v>6</v>
      </c>
      <c r="J1164">
        <v>0.99</v>
      </c>
      <c r="K1164">
        <v>1361</v>
      </c>
      <c r="L1164" t="s">
        <v>18</v>
      </c>
    </row>
    <row r="1165" spans="1:12" x14ac:dyDescent="0.3">
      <c r="A1165">
        <v>98</v>
      </c>
      <c r="B1165" t="s">
        <v>232</v>
      </c>
      <c r="C1165" t="s">
        <v>233</v>
      </c>
      <c r="D1165" t="s">
        <v>14</v>
      </c>
      <c r="E1165" t="s">
        <v>39</v>
      </c>
      <c r="F1165" t="s">
        <v>16</v>
      </c>
      <c r="G1165" s="1">
        <v>45992</v>
      </c>
      <c r="H1165">
        <v>227</v>
      </c>
      <c r="I1165">
        <v>7</v>
      </c>
      <c r="J1165">
        <v>0.85</v>
      </c>
      <c r="K1165">
        <v>1575.5</v>
      </c>
      <c r="L1165" t="s">
        <v>18</v>
      </c>
    </row>
    <row r="1166" spans="1:12" x14ac:dyDescent="0.3">
      <c r="A1166">
        <v>99</v>
      </c>
      <c r="B1166" t="s">
        <v>234</v>
      </c>
      <c r="C1166" t="s">
        <v>235</v>
      </c>
      <c r="D1166" t="s">
        <v>24</v>
      </c>
      <c r="E1166" t="s">
        <v>25</v>
      </c>
      <c r="F1166" t="s">
        <v>26</v>
      </c>
      <c r="G1166" s="1">
        <v>45658</v>
      </c>
      <c r="H1166">
        <v>229</v>
      </c>
      <c r="I1166">
        <v>10</v>
      </c>
      <c r="J1166">
        <v>0.88</v>
      </c>
      <c r="K1166">
        <v>2127.8000000000002</v>
      </c>
      <c r="L1166" t="s">
        <v>18</v>
      </c>
    </row>
    <row r="1167" spans="1:12" x14ac:dyDescent="0.3">
      <c r="A1167">
        <v>99</v>
      </c>
      <c r="B1167" t="s">
        <v>234</v>
      </c>
      <c r="C1167" t="s">
        <v>235</v>
      </c>
      <c r="D1167" t="s">
        <v>24</v>
      </c>
      <c r="E1167" t="s">
        <v>25</v>
      </c>
      <c r="F1167" t="s">
        <v>26</v>
      </c>
      <c r="G1167" s="1">
        <v>45689</v>
      </c>
      <c r="H1167">
        <v>311</v>
      </c>
      <c r="I1167">
        <v>7</v>
      </c>
      <c r="J1167">
        <v>0.91</v>
      </c>
      <c r="K1167">
        <v>2800.2</v>
      </c>
      <c r="L1167" t="s">
        <v>18</v>
      </c>
    </row>
    <row r="1168" spans="1:12" x14ac:dyDescent="0.3">
      <c r="A1168">
        <v>99</v>
      </c>
      <c r="B1168" t="s">
        <v>234</v>
      </c>
      <c r="C1168" t="s">
        <v>235</v>
      </c>
      <c r="D1168" t="s">
        <v>24</v>
      </c>
      <c r="E1168" t="s">
        <v>25</v>
      </c>
      <c r="F1168" t="s">
        <v>26</v>
      </c>
      <c r="G1168" s="1">
        <v>45717</v>
      </c>
      <c r="H1168">
        <v>380</v>
      </c>
      <c r="I1168">
        <v>7</v>
      </c>
      <c r="J1168">
        <v>0.94</v>
      </c>
      <c r="K1168">
        <v>3366</v>
      </c>
      <c r="L1168" t="s">
        <v>18</v>
      </c>
    </row>
    <row r="1169" spans="1:12" x14ac:dyDescent="0.3">
      <c r="A1169">
        <v>99</v>
      </c>
      <c r="B1169" t="s">
        <v>234</v>
      </c>
      <c r="C1169" t="s">
        <v>235</v>
      </c>
      <c r="D1169" t="s">
        <v>24</v>
      </c>
      <c r="E1169" t="s">
        <v>25</v>
      </c>
      <c r="F1169" t="s">
        <v>26</v>
      </c>
      <c r="G1169" s="1">
        <v>45748</v>
      </c>
      <c r="H1169">
        <v>241</v>
      </c>
      <c r="I1169">
        <v>10</v>
      </c>
      <c r="J1169">
        <v>0.95</v>
      </c>
      <c r="K1169">
        <v>2226.1999999999998</v>
      </c>
      <c r="L1169" t="s">
        <v>18</v>
      </c>
    </row>
    <row r="1170" spans="1:12" x14ac:dyDescent="0.3">
      <c r="A1170">
        <v>99</v>
      </c>
      <c r="B1170" t="s">
        <v>234</v>
      </c>
      <c r="C1170" t="s">
        <v>235</v>
      </c>
      <c r="D1170" t="s">
        <v>24</v>
      </c>
      <c r="E1170" t="s">
        <v>25</v>
      </c>
      <c r="F1170" t="s">
        <v>26</v>
      </c>
      <c r="G1170" s="1">
        <v>45778</v>
      </c>
      <c r="H1170">
        <v>177</v>
      </c>
      <c r="I1170">
        <v>5</v>
      </c>
      <c r="J1170">
        <v>0.88</v>
      </c>
      <c r="K1170">
        <v>1701.4</v>
      </c>
      <c r="L1170" t="s">
        <v>18</v>
      </c>
    </row>
    <row r="1171" spans="1:12" x14ac:dyDescent="0.3">
      <c r="A1171">
        <v>99</v>
      </c>
      <c r="B1171" t="s">
        <v>234</v>
      </c>
      <c r="C1171" t="s">
        <v>235</v>
      </c>
      <c r="D1171" t="s">
        <v>24</v>
      </c>
      <c r="E1171" t="s">
        <v>25</v>
      </c>
      <c r="F1171" t="s">
        <v>26</v>
      </c>
      <c r="G1171" s="1">
        <v>45809</v>
      </c>
      <c r="H1171">
        <v>253</v>
      </c>
      <c r="I1171">
        <v>6</v>
      </c>
      <c r="J1171">
        <v>0.94</v>
      </c>
      <c r="K1171">
        <v>2324.6</v>
      </c>
      <c r="L1171" t="s">
        <v>18</v>
      </c>
    </row>
    <row r="1172" spans="1:12" x14ac:dyDescent="0.3">
      <c r="A1172">
        <v>99</v>
      </c>
      <c r="B1172" t="s">
        <v>234</v>
      </c>
      <c r="C1172" t="s">
        <v>235</v>
      </c>
      <c r="D1172" t="s">
        <v>24</v>
      </c>
      <c r="E1172" t="s">
        <v>25</v>
      </c>
      <c r="F1172" t="s">
        <v>26</v>
      </c>
      <c r="G1172" s="1">
        <v>45839</v>
      </c>
      <c r="H1172">
        <v>397</v>
      </c>
      <c r="I1172">
        <v>9</v>
      </c>
      <c r="J1172">
        <v>0.85</v>
      </c>
      <c r="K1172">
        <v>3505.4</v>
      </c>
      <c r="L1172" t="s">
        <v>18</v>
      </c>
    </row>
    <row r="1173" spans="1:12" x14ac:dyDescent="0.3">
      <c r="A1173">
        <v>99</v>
      </c>
      <c r="B1173" t="s">
        <v>234</v>
      </c>
      <c r="C1173" t="s">
        <v>235</v>
      </c>
      <c r="D1173" t="s">
        <v>24</v>
      </c>
      <c r="E1173" t="s">
        <v>25</v>
      </c>
      <c r="F1173" t="s">
        <v>26</v>
      </c>
      <c r="G1173" s="1">
        <v>45870</v>
      </c>
      <c r="H1173">
        <v>325</v>
      </c>
      <c r="I1173">
        <v>10</v>
      </c>
      <c r="J1173">
        <v>0.95</v>
      </c>
      <c r="K1173">
        <v>2915</v>
      </c>
      <c r="L1173" t="s">
        <v>18</v>
      </c>
    </row>
    <row r="1174" spans="1:12" x14ac:dyDescent="0.3">
      <c r="A1174">
        <v>99</v>
      </c>
      <c r="B1174" t="s">
        <v>234</v>
      </c>
      <c r="C1174" t="s">
        <v>235</v>
      </c>
      <c r="D1174" t="s">
        <v>24</v>
      </c>
      <c r="E1174" t="s">
        <v>25</v>
      </c>
      <c r="F1174" t="s">
        <v>26</v>
      </c>
      <c r="G1174" s="1">
        <v>45901</v>
      </c>
      <c r="H1174">
        <v>150</v>
      </c>
      <c r="I1174">
        <v>2</v>
      </c>
      <c r="J1174">
        <v>0.88</v>
      </c>
      <c r="K1174">
        <v>1480</v>
      </c>
      <c r="L1174" t="s">
        <v>18</v>
      </c>
    </row>
    <row r="1175" spans="1:12" x14ac:dyDescent="0.3">
      <c r="A1175">
        <v>99</v>
      </c>
      <c r="B1175" t="s">
        <v>234</v>
      </c>
      <c r="C1175" t="s">
        <v>235</v>
      </c>
      <c r="D1175" t="s">
        <v>24</v>
      </c>
      <c r="E1175" t="s">
        <v>25</v>
      </c>
      <c r="F1175" t="s">
        <v>26</v>
      </c>
      <c r="G1175" s="1">
        <v>45931</v>
      </c>
      <c r="H1175">
        <v>390</v>
      </c>
      <c r="I1175">
        <v>9</v>
      </c>
      <c r="J1175">
        <v>0.94</v>
      </c>
      <c r="K1175">
        <v>3448</v>
      </c>
      <c r="L1175" t="s">
        <v>18</v>
      </c>
    </row>
    <row r="1176" spans="1:12" x14ac:dyDescent="0.3">
      <c r="A1176">
        <v>99</v>
      </c>
      <c r="B1176" t="s">
        <v>234</v>
      </c>
      <c r="C1176" t="s">
        <v>235</v>
      </c>
      <c r="D1176" t="s">
        <v>24</v>
      </c>
      <c r="E1176" t="s">
        <v>25</v>
      </c>
      <c r="F1176" t="s">
        <v>26</v>
      </c>
      <c r="G1176" s="1">
        <v>45962</v>
      </c>
      <c r="H1176">
        <v>259</v>
      </c>
      <c r="I1176">
        <v>9</v>
      </c>
      <c r="J1176">
        <v>0.93</v>
      </c>
      <c r="K1176">
        <v>2373.8000000000002</v>
      </c>
      <c r="L1176" t="s">
        <v>18</v>
      </c>
    </row>
    <row r="1177" spans="1:12" x14ac:dyDescent="0.3">
      <c r="A1177">
        <v>99</v>
      </c>
      <c r="B1177" t="s">
        <v>234</v>
      </c>
      <c r="C1177" t="s">
        <v>235</v>
      </c>
      <c r="D1177" t="s">
        <v>24</v>
      </c>
      <c r="E1177" t="s">
        <v>25</v>
      </c>
      <c r="F1177" t="s">
        <v>26</v>
      </c>
      <c r="G1177" s="1">
        <v>45992</v>
      </c>
      <c r="H1177">
        <v>247</v>
      </c>
      <c r="I1177">
        <v>8</v>
      </c>
      <c r="J1177">
        <v>0.94</v>
      </c>
      <c r="K1177">
        <v>2275.4</v>
      </c>
      <c r="L1177" t="s">
        <v>18</v>
      </c>
    </row>
    <row r="1178" spans="1:12" x14ac:dyDescent="0.3">
      <c r="A1178">
        <v>100</v>
      </c>
      <c r="B1178" t="s">
        <v>236</v>
      </c>
      <c r="C1178" t="s">
        <v>237</v>
      </c>
      <c r="D1178" t="s">
        <v>32</v>
      </c>
      <c r="E1178" t="s">
        <v>29</v>
      </c>
      <c r="F1178" t="s">
        <v>26</v>
      </c>
      <c r="G1178" s="1">
        <v>45658</v>
      </c>
      <c r="H1178">
        <v>150</v>
      </c>
      <c r="I1178">
        <v>9</v>
      </c>
      <c r="J1178">
        <v>0.96</v>
      </c>
      <c r="K1178">
        <v>2075</v>
      </c>
      <c r="L1178" t="s">
        <v>17</v>
      </c>
    </row>
    <row r="1179" spans="1:12" x14ac:dyDescent="0.3">
      <c r="A1179">
        <v>100</v>
      </c>
      <c r="B1179" t="s">
        <v>236</v>
      </c>
      <c r="C1179" t="s">
        <v>237</v>
      </c>
      <c r="D1179" t="s">
        <v>32</v>
      </c>
      <c r="E1179" t="s">
        <v>29</v>
      </c>
      <c r="F1179" t="s">
        <v>26</v>
      </c>
      <c r="G1179" s="1">
        <v>45689</v>
      </c>
      <c r="H1179">
        <v>169</v>
      </c>
      <c r="I1179">
        <v>2</v>
      </c>
      <c r="J1179">
        <v>0.96</v>
      </c>
      <c r="K1179">
        <v>2274.5</v>
      </c>
      <c r="L1179" t="s">
        <v>18</v>
      </c>
    </row>
    <row r="1180" spans="1:12" x14ac:dyDescent="0.3">
      <c r="A1180">
        <v>100</v>
      </c>
      <c r="B1180" t="s">
        <v>236</v>
      </c>
      <c r="C1180" t="s">
        <v>237</v>
      </c>
      <c r="D1180" t="s">
        <v>32</v>
      </c>
      <c r="E1180" t="s">
        <v>29</v>
      </c>
      <c r="F1180" t="s">
        <v>26</v>
      </c>
      <c r="G1180" s="1">
        <v>45717</v>
      </c>
      <c r="H1180">
        <v>186</v>
      </c>
      <c r="I1180">
        <v>6</v>
      </c>
      <c r="J1180">
        <v>0.93</v>
      </c>
      <c r="K1180">
        <v>2453</v>
      </c>
      <c r="L1180" t="s">
        <v>18</v>
      </c>
    </row>
    <row r="1181" spans="1:12" x14ac:dyDescent="0.3">
      <c r="A1181">
        <v>100</v>
      </c>
      <c r="B1181" t="s">
        <v>236</v>
      </c>
      <c r="C1181" t="s">
        <v>237</v>
      </c>
      <c r="D1181" t="s">
        <v>32</v>
      </c>
      <c r="E1181" t="s">
        <v>29</v>
      </c>
      <c r="F1181" t="s">
        <v>26</v>
      </c>
      <c r="G1181" s="1">
        <v>45748</v>
      </c>
      <c r="H1181">
        <v>400</v>
      </c>
      <c r="I1181">
        <v>6</v>
      </c>
      <c r="J1181">
        <v>0.93</v>
      </c>
      <c r="K1181">
        <v>4700</v>
      </c>
      <c r="L1181" t="s">
        <v>17</v>
      </c>
    </row>
    <row r="1182" spans="1:12" x14ac:dyDescent="0.3">
      <c r="A1182">
        <v>100</v>
      </c>
      <c r="B1182" t="s">
        <v>236</v>
      </c>
      <c r="C1182" t="s">
        <v>237</v>
      </c>
      <c r="D1182" t="s">
        <v>32</v>
      </c>
      <c r="E1182" t="s">
        <v>29</v>
      </c>
      <c r="F1182" t="s">
        <v>26</v>
      </c>
      <c r="G1182" s="1">
        <v>45778</v>
      </c>
      <c r="H1182">
        <v>378</v>
      </c>
      <c r="I1182">
        <v>7</v>
      </c>
      <c r="J1182">
        <v>0.97</v>
      </c>
      <c r="K1182">
        <v>4469</v>
      </c>
      <c r="L1182" t="s">
        <v>18</v>
      </c>
    </row>
    <row r="1183" spans="1:12" x14ac:dyDescent="0.3">
      <c r="A1183">
        <v>100</v>
      </c>
      <c r="B1183" t="s">
        <v>236</v>
      </c>
      <c r="C1183" t="s">
        <v>237</v>
      </c>
      <c r="D1183" t="s">
        <v>32</v>
      </c>
      <c r="E1183" t="s">
        <v>29</v>
      </c>
      <c r="F1183" t="s">
        <v>26</v>
      </c>
      <c r="G1183" s="1">
        <v>45809</v>
      </c>
      <c r="H1183">
        <v>238</v>
      </c>
      <c r="I1183">
        <v>7</v>
      </c>
      <c r="J1183">
        <v>0.99</v>
      </c>
      <c r="K1183">
        <v>2999</v>
      </c>
      <c r="L1183" t="s">
        <v>18</v>
      </c>
    </row>
    <row r="1184" spans="1:12" x14ac:dyDescent="0.3">
      <c r="A1184">
        <v>100</v>
      </c>
      <c r="B1184" t="s">
        <v>236</v>
      </c>
      <c r="C1184" t="s">
        <v>237</v>
      </c>
      <c r="D1184" t="s">
        <v>32</v>
      </c>
      <c r="E1184" t="s">
        <v>29</v>
      </c>
      <c r="F1184" t="s">
        <v>26</v>
      </c>
      <c r="G1184" s="1">
        <v>45839</v>
      </c>
      <c r="H1184">
        <v>185</v>
      </c>
      <c r="I1184">
        <v>8</v>
      </c>
      <c r="J1184">
        <v>0.93</v>
      </c>
      <c r="K1184">
        <v>2442.5</v>
      </c>
      <c r="L1184" t="s">
        <v>18</v>
      </c>
    </row>
    <row r="1185" spans="1:12" x14ac:dyDescent="0.3">
      <c r="A1185">
        <v>100</v>
      </c>
      <c r="B1185" t="s">
        <v>236</v>
      </c>
      <c r="C1185" t="s">
        <v>237</v>
      </c>
      <c r="D1185" t="s">
        <v>32</v>
      </c>
      <c r="E1185" t="s">
        <v>29</v>
      </c>
      <c r="F1185" t="s">
        <v>26</v>
      </c>
      <c r="G1185" s="1">
        <v>45870</v>
      </c>
      <c r="H1185">
        <v>200</v>
      </c>
      <c r="I1185">
        <v>8</v>
      </c>
      <c r="J1185">
        <v>0.94</v>
      </c>
      <c r="K1185">
        <v>2600</v>
      </c>
      <c r="L1185" t="s">
        <v>18</v>
      </c>
    </row>
    <row r="1186" spans="1:12" x14ac:dyDescent="0.3">
      <c r="A1186">
        <v>100</v>
      </c>
      <c r="B1186" t="s">
        <v>236</v>
      </c>
      <c r="C1186" t="s">
        <v>237</v>
      </c>
      <c r="D1186" t="s">
        <v>32</v>
      </c>
      <c r="E1186" t="s">
        <v>29</v>
      </c>
      <c r="F1186" t="s">
        <v>26</v>
      </c>
      <c r="G1186" s="1">
        <v>45901</v>
      </c>
      <c r="H1186">
        <v>337</v>
      </c>
      <c r="I1186">
        <v>8</v>
      </c>
      <c r="J1186">
        <v>0.87</v>
      </c>
      <c r="K1186">
        <v>4038.5</v>
      </c>
      <c r="L1186" t="s">
        <v>18</v>
      </c>
    </row>
    <row r="1187" spans="1:12" x14ac:dyDescent="0.3">
      <c r="A1187">
        <v>100</v>
      </c>
      <c r="B1187" t="s">
        <v>236</v>
      </c>
      <c r="C1187" t="s">
        <v>237</v>
      </c>
      <c r="D1187" t="s">
        <v>32</v>
      </c>
      <c r="E1187" t="s">
        <v>29</v>
      </c>
      <c r="F1187" t="s">
        <v>26</v>
      </c>
      <c r="G1187" s="1">
        <v>45931</v>
      </c>
      <c r="H1187">
        <v>211</v>
      </c>
      <c r="I1187">
        <v>5</v>
      </c>
      <c r="J1187">
        <v>0.89</v>
      </c>
      <c r="K1187">
        <v>2715.5</v>
      </c>
      <c r="L1187" t="s">
        <v>18</v>
      </c>
    </row>
    <row r="1188" spans="1:12" x14ac:dyDescent="0.3">
      <c r="A1188">
        <v>100</v>
      </c>
      <c r="B1188" t="s">
        <v>236</v>
      </c>
      <c r="C1188" t="s">
        <v>237</v>
      </c>
      <c r="D1188" t="s">
        <v>32</v>
      </c>
      <c r="E1188" t="s">
        <v>29</v>
      </c>
      <c r="F1188" t="s">
        <v>26</v>
      </c>
      <c r="G1188" s="1">
        <v>45962</v>
      </c>
      <c r="H1188">
        <v>312</v>
      </c>
      <c r="I1188">
        <v>3</v>
      </c>
      <c r="J1188">
        <v>0.85</v>
      </c>
      <c r="K1188">
        <v>3776</v>
      </c>
      <c r="L1188" t="s">
        <v>18</v>
      </c>
    </row>
    <row r="1189" spans="1:12" x14ac:dyDescent="0.3">
      <c r="A1189">
        <v>100</v>
      </c>
      <c r="B1189" t="s">
        <v>236</v>
      </c>
      <c r="C1189" t="s">
        <v>237</v>
      </c>
      <c r="D1189" t="s">
        <v>32</v>
      </c>
      <c r="E1189" t="s">
        <v>29</v>
      </c>
      <c r="F1189" t="s">
        <v>26</v>
      </c>
      <c r="G1189" s="1">
        <v>45992</v>
      </c>
      <c r="H1189">
        <v>209</v>
      </c>
      <c r="I1189">
        <v>7</v>
      </c>
      <c r="J1189">
        <v>0.91</v>
      </c>
      <c r="K1189">
        <v>2694.5</v>
      </c>
      <c r="L1189" t="s">
        <v>18</v>
      </c>
    </row>
    <row r="1190" spans="1:12" x14ac:dyDescent="0.3">
      <c r="A1190">
        <v>101</v>
      </c>
      <c r="B1190" t="s">
        <v>238</v>
      </c>
      <c r="C1190" t="s">
        <v>239</v>
      </c>
      <c r="D1190" t="s">
        <v>42</v>
      </c>
      <c r="E1190" t="s">
        <v>47</v>
      </c>
      <c r="F1190" t="s">
        <v>26</v>
      </c>
      <c r="G1190" s="1">
        <v>45658</v>
      </c>
      <c r="H1190">
        <v>263</v>
      </c>
      <c r="I1190">
        <v>5</v>
      </c>
      <c r="J1190">
        <v>0.87</v>
      </c>
      <c r="K1190">
        <v>1337.4</v>
      </c>
      <c r="L1190" t="s">
        <v>18</v>
      </c>
    </row>
    <row r="1191" spans="1:12" x14ac:dyDescent="0.3">
      <c r="A1191">
        <v>101</v>
      </c>
      <c r="B1191" t="s">
        <v>238</v>
      </c>
      <c r="C1191" t="s">
        <v>239</v>
      </c>
      <c r="D1191" t="s">
        <v>42</v>
      </c>
      <c r="E1191" t="s">
        <v>47</v>
      </c>
      <c r="F1191" t="s">
        <v>26</v>
      </c>
      <c r="G1191" s="1">
        <v>45689</v>
      </c>
      <c r="H1191">
        <v>396</v>
      </c>
      <c r="I1191">
        <v>10</v>
      </c>
      <c r="J1191">
        <v>0.9</v>
      </c>
      <c r="K1191">
        <v>1975.8</v>
      </c>
      <c r="L1191" t="s">
        <v>18</v>
      </c>
    </row>
    <row r="1192" spans="1:12" x14ac:dyDescent="0.3">
      <c r="A1192">
        <v>101</v>
      </c>
      <c r="B1192" t="s">
        <v>238</v>
      </c>
      <c r="C1192" t="s">
        <v>239</v>
      </c>
      <c r="D1192" t="s">
        <v>42</v>
      </c>
      <c r="E1192" t="s">
        <v>47</v>
      </c>
      <c r="F1192" t="s">
        <v>26</v>
      </c>
      <c r="G1192" s="1">
        <v>45717</v>
      </c>
      <c r="H1192">
        <v>312</v>
      </c>
      <c r="I1192">
        <v>2</v>
      </c>
      <c r="J1192">
        <v>0.92</v>
      </c>
      <c r="K1192">
        <v>1572.6</v>
      </c>
      <c r="L1192" t="s">
        <v>18</v>
      </c>
    </row>
    <row r="1193" spans="1:12" x14ac:dyDescent="0.3">
      <c r="A1193">
        <v>101</v>
      </c>
      <c r="B1193" t="s">
        <v>238</v>
      </c>
      <c r="C1193" t="s">
        <v>239</v>
      </c>
      <c r="D1193" t="s">
        <v>42</v>
      </c>
      <c r="E1193" t="s">
        <v>47</v>
      </c>
      <c r="F1193" t="s">
        <v>26</v>
      </c>
      <c r="G1193" s="1">
        <v>45748</v>
      </c>
      <c r="H1193">
        <v>162</v>
      </c>
      <c r="I1193">
        <v>9</v>
      </c>
      <c r="J1193">
        <v>0.93</v>
      </c>
      <c r="K1193">
        <v>852.6</v>
      </c>
      <c r="L1193" t="s">
        <v>18</v>
      </c>
    </row>
    <row r="1194" spans="1:12" x14ac:dyDescent="0.3">
      <c r="A1194">
        <v>101</v>
      </c>
      <c r="B1194" t="s">
        <v>238</v>
      </c>
      <c r="C1194" t="s">
        <v>239</v>
      </c>
      <c r="D1194" t="s">
        <v>42</v>
      </c>
      <c r="E1194" t="s">
        <v>47</v>
      </c>
      <c r="F1194" t="s">
        <v>26</v>
      </c>
      <c r="G1194" s="1">
        <v>45778</v>
      </c>
      <c r="H1194">
        <v>163</v>
      </c>
      <c r="I1194">
        <v>8</v>
      </c>
      <c r="J1194">
        <v>0.88</v>
      </c>
      <c r="K1194">
        <v>857.4</v>
      </c>
      <c r="L1194" t="s">
        <v>18</v>
      </c>
    </row>
    <row r="1195" spans="1:12" x14ac:dyDescent="0.3">
      <c r="A1195">
        <v>101</v>
      </c>
      <c r="B1195" t="s">
        <v>238</v>
      </c>
      <c r="C1195" t="s">
        <v>239</v>
      </c>
      <c r="D1195" t="s">
        <v>42</v>
      </c>
      <c r="E1195" t="s">
        <v>47</v>
      </c>
      <c r="F1195" t="s">
        <v>26</v>
      </c>
      <c r="G1195" s="1">
        <v>45809</v>
      </c>
      <c r="H1195">
        <v>195</v>
      </c>
      <c r="I1195">
        <v>6</v>
      </c>
      <c r="J1195">
        <v>0.9</v>
      </c>
      <c r="K1195">
        <v>1011</v>
      </c>
      <c r="L1195" t="s">
        <v>18</v>
      </c>
    </row>
    <row r="1196" spans="1:12" x14ac:dyDescent="0.3">
      <c r="A1196">
        <v>101</v>
      </c>
      <c r="B1196" t="s">
        <v>238</v>
      </c>
      <c r="C1196" t="s">
        <v>239</v>
      </c>
      <c r="D1196" t="s">
        <v>42</v>
      </c>
      <c r="E1196" t="s">
        <v>47</v>
      </c>
      <c r="F1196" t="s">
        <v>26</v>
      </c>
      <c r="G1196" s="1">
        <v>45839</v>
      </c>
      <c r="H1196">
        <v>213</v>
      </c>
      <c r="I1196">
        <v>4</v>
      </c>
      <c r="J1196">
        <v>0.92</v>
      </c>
      <c r="K1196">
        <v>1097.4000000000001</v>
      </c>
      <c r="L1196" t="s">
        <v>18</v>
      </c>
    </row>
    <row r="1197" spans="1:12" x14ac:dyDescent="0.3">
      <c r="A1197">
        <v>101</v>
      </c>
      <c r="B1197" t="s">
        <v>238</v>
      </c>
      <c r="C1197" t="s">
        <v>239</v>
      </c>
      <c r="D1197" t="s">
        <v>42</v>
      </c>
      <c r="E1197" t="s">
        <v>47</v>
      </c>
      <c r="F1197" t="s">
        <v>26</v>
      </c>
      <c r="G1197" s="1">
        <v>45870</v>
      </c>
      <c r="H1197">
        <v>278</v>
      </c>
      <c r="I1197">
        <v>10</v>
      </c>
      <c r="J1197">
        <v>0.96</v>
      </c>
      <c r="K1197">
        <v>1409.4</v>
      </c>
      <c r="L1197" t="s">
        <v>18</v>
      </c>
    </row>
    <row r="1198" spans="1:12" x14ac:dyDescent="0.3">
      <c r="A1198">
        <v>101</v>
      </c>
      <c r="B1198" t="s">
        <v>238</v>
      </c>
      <c r="C1198" t="s">
        <v>239</v>
      </c>
      <c r="D1198" t="s">
        <v>42</v>
      </c>
      <c r="E1198" t="s">
        <v>47</v>
      </c>
      <c r="F1198" t="s">
        <v>26</v>
      </c>
      <c r="G1198" s="1">
        <v>45901</v>
      </c>
      <c r="H1198">
        <v>234</v>
      </c>
      <c r="I1198">
        <v>7</v>
      </c>
      <c r="J1198">
        <v>0.87</v>
      </c>
      <c r="K1198">
        <v>1198.2</v>
      </c>
      <c r="L1198" t="s">
        <v>18</v>
      </c>
    </row>
    <row r="1199" spans="1:12" x14ac:dyDescent="0.3">
      <c r="A1199">
        <v>101</v>
      </c>
      <c r="B1199" t="s">
        <v>238</v>
      </c>
      <c r="C1199" t="s">
        <v>239</v>
      </c>
      <c r="D1199" t="s">
        <v>42</v>
      </c>
      <c r="E1199" t="s">
        <v>47</v>
      </c>
      <c r="F1199" t="s">
        <v>26</v>
      </c>
      <c r="G1199" s="1">
        <v>45931</v>
      </c>
      <c r="H1199">
        <v>347</v>
      </c>
      <c r="I1199">
        <v>3</v>
      </c>
      <c r="J1199">
        <v>0.98</v>
      </c>
      <c r="K1199">
        <v>1740.6</v>
      </c>
      <c r="L1199" t="s">
        <v>18</v>
      </c>
    </row>
    <row r="1200" spans="1:12" x14ac:dyDescent="0.3">
      <c r="A1200">
        <v>101</v>
      </c>
      <c r="B1200" t="s">
        <v>238</v>
      </c>
      <c r="C1200" t="s">
        <v>239</v>
      </c>
      <c r="D1200" t="s">
        <v>42</v>
      </c>
      <c r="E1200" t="s">
        <v>47</v>
      </c>
      <c r="F1200" t="s">
        <v>26</v>
      </c>
      <c r="G1200" s="1">
        <v>45962</v>
      </c>
      <c r="H1200">
        <v>187</v>
      </c>
      <c r="I1200">
        <v>10</v>
      </c>
      <c r="J1200">
        <v>0.96</v>
      </c>
      <c r="K1200">
        <v>972.6</v>
      </c>
      <c r="L1200" t="s">
        <v>18</v>
      </c>
    </row>
    <row r="1201" spans="1:12" x14ac:dyDescent="0.3">
      <c r="A1201">
        <v>101</v>
      </c>
      <c r="B1201" t="s">
        <v>238</v>
      </c>
      <c r="C1201" t="s">
        <v>239</v>
      </c>
      <c r="D1201" t="s">
        <v>42</v>
      </c>
      <c r="E1201" t="s">
        <v>47</v>
      </c>
      <c r="F1201" t="s">
        <v>26</v>
      </c>
      <c r="G1201" s="1">
        <v>45992</v>
      </c>
      <c r="H1201">
        <v>337</v>
      </c>
      <c r="I1201">
        <v>5</v>
      </c>
      <c r="J1201">
        <v>0.98</v>
      </c>
      <c r="K1201">
        <v>1692.6</v>
      </c>
      <c r="L1201" t="s">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F13EEB-AFC5-4FD8-AE0B-B9C07143B6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Mannat Kaur</cp:lastModifiedBy>
  <dcterms:created xsi:type="dcterms:W3CDTF">2015-06-05T18:17:20Z</dcterms:created>
  <dcterms:modified xsi:type="dcterms:W3CDTF">2026-08-30T05:17:45Z</dcterms:modified>
</cp:coreProperties>
</file>